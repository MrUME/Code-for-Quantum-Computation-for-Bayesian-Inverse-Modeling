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A8B94E3-5843-492D-815E-B77504C3EB2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观测值" sheetId="1" r:id="rId1"/>
    <sheet name="Sheet1" sheetId="4" r:id="rId2"/>
    <sheet name="损失查看_t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1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" i="4"/>
  <c r="X3" i="3"/>
  <c r="X61" i="3" s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P3" i="3"/>
  <c r="P4" i="3"/>
  <c r="P5" i="3"/>
  <c r="P6" i="3"/>
  <c r="P61" i="3" s="1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X2" i="3"/>
  <c r="T2" i="3"/>
  <c r="T61" i="3" s="1"/>
  <c r="P2" i="3"/>
  <c r="L2" i="3"/>
  <c r="L61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2" i="3"/>
  <c r="H61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61" i="3" s="1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2" i="3"/>
  <c r="D62" i="3" l="1"/>
</calcChain>
</file>

<file path=xl/sharedStrings.xml><?xml version="1.0" encoding="utf-8"?>
<sst xmlns="http://schemas.openxmlformats.org/spreadsheetml/2006/main" count="21" uniqueCount="16">
  <si>
    <t>PH</t>
    <phoneticPr fontId="1" type="noConversion"/>
  </si>
  <si>
    <t>Ca</t>
    <phoneticPr fontId="1" type="noConversion"/>
  </si>
  <si>
    <t>Na</t>
    <phoneticPr fontId="1" type="noConversion"/>
  </si>
  <si>
    <t>K</t>
    <phoneticPr fontId="1" type="noConversion"/>
  </si>
  <si>
    <t>Mg</t>
    <phoneticPr fontId="1" type="noConversion"/>
  </si>
  <si>
    <t>HCO3</t>
    <phoneticPr fontId="1" type="noConversion"/>
  </si>
  <si>
    <t>x</t>
    <phoneticPr fontId="1" type="noConversion"/>
  </si>
  <si>
    <t>PH1</t>
    <phoneticPr fontId="1" type="noConversion"/>
  </si>
  <si>
    <t>Ca1</t>
    <phoneticPr fontId="1" type="noConversion"/>
  </si>
  <si>
    <t>Na1</t>
    <phoneticPr fontId="1" type="noConversion"/>
  </si>
  <si>
    <t>K1</t>
    <phoneticPr fontId="1" type="noConversion"/>
  </si>
  <si>
    <t>Mg1</t>
    <phoneticPr fontId="1" type="noConversion"/>
  </si>
  <si>
    <t>HCO31</t>
    <phoneticPr fontId="1" type="noConversion"/>
  </si>
  <si>
    <t>平均MAE</t>
    <phoneticPr fontId="1" type="noConversion"/>
  </si>
  <si>
    <t>M3_delta</t>
  </si>
  <si>
    <t>M3x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</si>
</sst>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ph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损失查看_tmp!$A$2:$A$56</c:f>
              <c:numCache>
                <c:formatCode>General</c:formatCode>
                <c:ptCount val="55"/>
                <c:pt idx="0">
                  <c:v>5.1327400000000001</c:v>
                </c:pt>
                <c:pt idx="1">
                  <c:v>5.3982299999999999</c:v>
                </c:pt>
                <c:pt idx="2">
                  <c:v>5.5752199999999998</c:v>
                </c:pt>
                <c:pt idx="3">
                  <c:v>6.3716799999999996</c:v>
                </c:pt>
                <c:pt idx="4">
                  <c:v>6.7256600000000004</c:v>
                </c:pt>
                <c:pt idx="5">
                  <c:v>8.5840700000000005</c:v>
                </c:pt>
                <c:pt idx="6">
                  <c:v>8.5840700000000005</c:v>
                </c:pt>
                <c:pt idx="7">
                  <c:v>9.0265500000000003</c:v>
                </c:pt>
                <c:pt idx="8">
                  <c:v>11.8584</c:v>
                </c:pt>
                <c:pt idx="9">
                  <c:v>14.3363</c:v>
                </c:pt>
                <c:pt idx="10">
                  <c:v>14.8673</c:v>
                </c:pt>
                <c:pt idx="11">
                  <c:v>16.283200000000001</c:v>
                </c:pt>
                <c:pt idx="12">
                  <c:v>17.433599999999998</c:v>
                </c:pt>
                <c:pt idx="13">
                  <c:v>18.053100000000001</c:v>
                </c:pt>
                <c:pt idx="14">
                  <c:v>19.380500000000001</c:v>
                </c:pt>
                <c:pt idx="15">
                  <c:v>19.380500000000001</c:v>
                </c:pt>
                <c:pt idx="16">
                  <c:v>21.5929</c:v>
                </c:pt>
                <c:pt idx="17">
                  <c:v>22.035399999999999</c:v>
                </c:pt>
                <c:pt idx="18">
                  <c:v>24.690300000000001</c:v>
                </c:pt>
                <c:pt idx="19">
                  <c:v>25.398199999999999</c:v>
                </c:pt>
                <c:pt idx="20">
                  <c:v>25.398199999999999</c:v>
                </c:pt>
                <c:pt idx="21">
                  <c:v>27.168099999999999</c:v>
                </c:pt>
                <c:pt idx="22">
                  <c:v>27.256599999999999</c:v>
                </c:pt>
                <c:pt idx="23">
                  <c:v>27.699100000000001</c:v>
                </c:pt>
                <c:pt idx="24">
                  <c:v>27.876100000000001</c:v>
                </c:pt>
                <c:pt idx="25">
                  <c:v>27.876100000000001</c:v>
                </c:pt>
                <c:pt idx="26">
                  <c:v>27.964600000000001</c:v>
                </c:pt>
                <c:pt idx="27">
                  <c:v>28.053100000000001</c:v>
                </c:pt>
                <c:pt idx="28">
                  <c:v>28.3186</c:v>
                </c:pt>
                <c:pt idx="29">
                  <c:v>29.734500000000001</c:v>
                </c:pt>
                <c:pt idx="30">
                  <c:v>29.823</c:v>
                </c:pt>
                <c:pt idx="31">
                  <c:v>30.442499999999999</c:v>
                </c:pt>
                <c:pt idx="32">
                  <c:v>34.778799999999997</c:v>
                </c:pt>
                <c:pt idx="33">
                  <c:v>37.168100000000003</c:v>
                </c:pt>
                <c:pt idx="34">
                  <c:v>37.964599999999997</c:v>
                </c:pt>
                <c:pt idx="35">
                  <c:v>39.911499999999997</c:v>
                </c:pt>
                <c:pt idx="36">
                  <c:v>42.300899999999999</c:v>
                </c:pt>
                <c:pt idx="37">
                  <c:v>42.566400000000002</c:v>
                </c:pt>
                <c:pt idx="38">
                  <c:v>43.716799999999999</c:v>
                </c:pt>
                <c:pt idx="39">
                  <c:v>45.575200000000002</c:v>
                </c:pt>
                <c:pt idx="40">
                  <c:v>46.371699999999997</c:v>
                </c:pt>
                <c:pt idx="41">
                  <c:v>49.026499999999999</c:v>
                </c:pt>
                <c:pt idx="42">
                  <c:v>49.203499999999998</c:v>
                </c:pt>
                <c:pt idx="43">
                  <c:v>50.177</c:v>
                </c:pt>
                <c:pt idx="44">
                  <c:v>50.265500000000003</c:v>
                </c:pt>
                <c:pt idx="45">
                  <c:v>51.5929</c:v>
                </c:pt>
                <c:pt idx="46">
                  <c:v>51.681399999999996</c:v>
                </c:pt>
                <c:pt idx="47">
                  <c:v>52.212400000000002</c:v>
                </c:pt>
                <c:pt idx="48">
                  <c:v>52.212400000000002</c:v>
                </c:pt>
                <c:pt idx="49">
                  <c:v>52.743400000000001</c:v>
                </c:pt>
                <c:pt idx="50">
                  <c:v>53.982300000000002</c:v>
                </c:pt>
                <c:pt idx="51">
                  <c:v>55.1327</c:v>
                </c:pt>
                <c:pt idx="52">
                  <c:v>56.017699999999998</c:v>
                </c:pt>
                <c:pt idx="53">
                  <c:v>56.6372</c:v>
                </c:pt>
                <c:pt idx="54">
                  <c:v>58.318600000000004</c:v>
                </c:pt>
              </c:numCache>
            </c:numRef>
          </c:xVal>
          <c:yVal>
            <c:numRef>
              <c:f>损失查看_tmp!$B$2:$B$56</c:f>
              <c:numCache>
                <c:formatCode>General</c:formatCode>
                <c:ptCount val="55"/>
                <c:pt idx="0">
                  <c:v>7.7713400000000004</c:v>
                </c:pt>
                <c:pt idx="1">
                  <c:v>7.2713700000000001</c:v>
                </c:pt>
                <c:pt idx="2">
                  <c:v>8.1672200000000004</c:v>
                </c:pt>
                <c:pt idx="3">
                  <c:v>8.0631299999999992</c:v>
                </c:pt>
                <c:pt idx="4">
                  <c:v>7.7714999999999996</c:v>
                </c:pt>
                <c:pt idx="5">
                  <c:v>7.3689099999999996</c:v>
                </c:pt>
                <c:pt idx="6">
                  <c:v>7.1744599999999998</c:v>
                </c:pt>
                <c:pt idx="7">
                  <c:v>7.7717299999999998</c:v>
                </c:pt>
                <c:pt idx="8">
                  <c:v>7.5706199999999999</c:v>
                </c:pt>
                <c:pt idx="9">
                  <c:v>7.3694800000000003</c:v>
                </c:pt>
                <c:pt idx="10">
                  <c:v>7.4806400000000002</c:v>
                </c:pt>
                <c:pt idx="11">
                  <c:v>7.5780000000000003</c:v>
                </c:pt>
                <c:pt idx="12">
                  <c:v>7.5781200000000002</c:v>
                </c:pt>
                <c:pt idx="13">
                  <c:v>7.5712400000000004</c:v>
                </c:pt>
                <c:pt idx="14">
                  <c:v>7.48109</c:v>
                </c:pt>
                <c:pt idx="15">
                  <c:v>7.36998</c:v>
                </c:pt>
                <c:pt idx="16">
                  <c:v>7.8701999999999996</c:v>
                </c:pt>
                <c:pt idx="17">
                  <c:v>7.8771899999999997</c:v>
                </c:pt>
                <c:pt idx="18">
                  <c:v>8.3982799999999997</c:v>
                </c:pt>
                <c:pt idx="19">
                  <c:v>7.4747399999999997</c:v>
                </c:pt>
                <c:pt idx="20">
                  <c:v>8.0789100000000005</c:v>
                </c:pt>
                <c:pt idx="21">
                  <c:v>7.8707500000000001</c:v>
                </c:pt>
                <c:pt idx="22">
                  <c:v>7.9818699999999998</c:v>
                </c:pt>
                <c:pt idx="23">
                  <c:v>7.1763599999999999</c:v>
                </c:pt>
                <c:pt idx="24">
                  <c:v>7.7736000000000001</c:v>
                </c:pt>
                <c:pt idx="25">
                  <c:v>7.98888</c:v>
                </c:pt>
                <c:pt idx="26">
                  <c:v>7.8986099999999997</c:v>
                </c:pt>
                <c:pt idx="27">
                  <c:v>7.5722300000000002</c:v>
                </c:pt>
                <c:pt idx="28">
                  <c:v>7.7736400000000003</c:v>
                </c:pt>
                <c:pt idx="29">
                  <c:v>7.5793400000000002</c:v>
                </c:pt>
                <c:pt idx="30">
                  <c:v>7.8710100000000001</c:v>
                </c:pt>
                <c:pt idx="31">
                  <c:v>8.0724599999999995</c:v>
                </c:pt>
                <c:pt idx="32">
                  <c:v>7.9826199999999998</c:v>
                </c:pt>
                <c:pt idx="33">
                  <c:v>8.1911900000000006</c:v>
                </c:pt>
                <c:pt idx="34">
                  <c:v>8.1287699999999994</c:v>
                </c:pt>
                <c:pt idx="35">
                  <c:v>8.1914599999999993</c:v>
                </c:pt>
                <c:pt idx="36">
                  <c:v>8.2194699999999994</c:v>
                </c:pt>
                <c:pt idx="37">
                  <c:v>8.0250599999999999</c:v>
                </c:pt>
                <c:pt idx="38">
                  <c:v>7.8723900000000002</c:v>
                </c:pt>
                <c:pt idx="39">
                  <c:v>8.1989699999999992</c:v>
                </c:pt>
                <c:pt idx="40">
                  <c:v>8.5323799999999999</c:v>
                </c:pt>
                <c:pt idx="41">
                  <c:v>8.7757000000000005</c:v>
                </c:pt>
                <c:pt idx="42">
                  <c:v>8.7757100000000001</c:v>
                </c:pt>
                <c:pt idx="43">
                  <c:v>8.5813699999999997</c:v>
                </c:pt>
                <c:pt idx="44">
                  <c:v>8.7827599999999997</c:v>
                </c:pt>
                <c:pt idx="45">
                  <c:v>8.6301199999999998</c:v>
                </c:pt>
                <c:pt idx="46">
                  <c:v>8.7828999999999997</c:v>
                </c:pt>
                <c:pt idx="47">
                  <c:v>7.9843500000000001</c:v>
                </c:pt>
                <c:pt idx="48">
                  <c:v>8.4773999999999994</c:v>
                </c:pt>
                <c:pt idx="49">
                  <c:v>8.3802299999999992</c:v>
                </c:pt>
                <c:pt idx="50">
                  <c:v>8.2831299999999999</c:v>
                </c:pt>
                <c:pt idx="51">
                  <c:v>8.4846400000000006</c:v>
                </c:pt>
                <c:pt idx="52">
                  <c:v>8.7763899999999992</c:v>
                </c:pt>
                <c:pt idx="53">
                  <c:v>8.3806200000000004</c:v>
                </c:pt>
                <c:pt idx="54">
                  <c:v>8.9293999999999993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F7-446B-BC6F-AEF924FB8B06}"/>
            </c:ext>
          </c:extLst>
        </c:ser>
        <c:ser>
          <c:idx val="1"/>
          <c:order val="1"/>
          <c:tx>
            <c:strRef>
              <c:f>损失查看_tmp!$C$1</c:f>
              <c:strCache>
                <c:ptCount val="1"/>
                <c:pt idx="0">
                  <c:v>PH1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损失查看_tmp!$A$2:$A$56</c:f>
              <c:numCache>
                <c:formatCode>General</c:formatCode>
                <c:ptCount val="55"/>
                <c:pt idx="0">
                  <c:v>5.1327400000000001</c:v>
                </c:pt>
                <c:pt idx="1">
                  <c:v>5.3982299999999999</c:v>
                </c:pt>
                <c:pt idx="2">
                  <c:v>5.5752199999999998</c:v>
                </c:pt>
                <c:pt idx="3">
                  <c:v>6.3716799999999996</c:v>
                </c:pt>
                <c:pt idx="4">
                  <c:v>6.7256600000000004</c:v>
                </c:pt>
                <c:pt idx="5">
                  <c:v>8.5840700000000005</c:v>
                </c:pt>
                <c:pt idx="6">
                  <c:v>8.5840700000000005</c:v>
                </c:pt>
                <c:pt idx="7">
                  <c:v>9.0265500000000003</c:v>
                </c:pt>
                <c:pt idx="8">
                  <c:v>11.8584</c:v>
                </c:pt>
                <c:pt idx="9">
                  <c:v>14.3363</c:v>
                </c:pt>
                <c:pt idx="10">
                  <c:v>14.8673</c:v>
                </c:pt>
                <c:pt idx="11">
                  <c:v>16.283200000000001</c:v>
                </c:pt>
                <c:pt idx="12">
                  <c:v>17.433599999999998</c:v>
                </c:pt>
                <c:pt idx="13">
                  <c:v>18.053100000000001</c:v>
                </c:pt>
                <c:pt idx="14">
                  <c:v>19.380500000000001</c:v>
                </c:pt>
                <c:pt idx="15">
                  <c:v>19.380500000000001</c:v>
                </c:pt>
                <c:pt idx="16">
                  <c:v>21.5929</c:v>
                </c:pt>
                <c:pt idx="17">
                  <c:v>22.035399999999999</c:v>
                </c:pt>
                <c:pt idx="18">
                  <c:v>24.690300000000001</c:v>
                </c:pt>
                <c:pt idx="19">
                  <c:v>25.398199999999999</c:v>
                </c:pt>
                <c:pt idx="20">
                  <c:v>25.398199999999999</c:v>
                </c:pt>
                <c:pt idx="21">
                  <c:v>27.168099999999999</c:v>
                </c:pt>
                <c:pt idx="22">
                  <c:v>27.256599999999999</c:v>
                </c:pt>
                <c:pt idx="23">
                  <c:v>27.699100000000001</c:v>
                </c:pt>
                <c:pt idx="24">
                  <c:v>27.876100000000001</c:v>
                </c:pt>
                <c:pt idx="25">
                  <c:v>27.876100000000001</c:v>
                </c:pt>
                <c:pt idx="26">
                  <c:v>27.964600000000001</c:v>
                </c:pt>
                <c:pt idx="27">
                  <c:v>28.053100000000001</c:v>
                </c:pt>
                <c:pt idx="28">
                  <c:v>28.3186</c:v>
                </c:pt>
                <c:pt idx="29">
                  <c:v>29.734500000000001</c:v>
                </c:pt>
                <c:pt idx="30">
                  <c:v>29.823</c:v>
                </c:pt>
                <c:pt idx="31">
                  <c:v>30.442499999999999</c:v>
                </c:pt>
                <c:pt idx="32">
                  <c:v>34.778799999999997</c:v>
                </c:pt>
                <c:pt idx="33">
                  <c:v>37.168100000000003</c:v>
                </c:pt>
                <c:pt idx="34">
                  <c:v>37.964599999999997</c:v>
                </c:pt>
                <c:pt idx="35">
                  <c:v>39.911499999999997</c:v>
                </c:pt>
                <c:pt idx="36">
                  <c:v>42.300899999999999</c:v>
                </c:pt>
                <c:pt idx="37">
                  <c:v>42.566400000000002</c:v>
                </c:pt>
                <c:pt idx="38">
                  <c:v>43.716799999999999</c:v>
                </c:pt>
                <c:pt idx="39">
                  <c:v>45.575200000000002</c:v>
                </c:pt>
                <c:pt idx="40">
                  <c:v>46.371699999999997</c:v>
                </c:pt>
                <c:pt idx="41">
                  <c:v>49.026499999999999</c:v>
                </c:pt>
                <c:pt idx="42">
                  <c:v>49.203499999999998</c:v>
                </c:pt>
                <c:pt idx="43">
                  <c:v>50.177</c:v>
                </c:pt>
                <c:pt idx="44">
                  <c:v>50.265500000000003</c:v>
                </c:pt>
                <c:pt idx="45">
                  <c:v>51.5929</c:v>
                </c:pt>
                <c:pt idx="46">
                  <c:v>51.681399999999996</c:v>
                </c:pt>
                <c:pt idx="47">
                  <c:v>52.212400000000002</c:v>
                </c:pt>
                <c:pt idx="48">
                  <c:v>52.212400000000002</c:v>
                </c:pt>
                <c:pt idx="49">
                  <c:v>52.743400000000001</c:v>
                </c:pt>
                <c:pt idx="50">
                  <c:v>53.982300000000002</c:v>
                </c:pt>
                <c:pt idx="51">
                  <c:v>55.1327</c:v>
                </c:pt>
                <c:pt idx="52">
                  <c:v>56.017699999999998</c:v>
                </c:pt>
                <c:pt idx="53">
                  <c:v>56.6372</c:v>
                </c:pt>
                <c:pt idx="54">
                  <c:v>58.318600000000004</c:v>
                </c:pt>
              </c:numCache>
            </c:numRef>
          </c:xVal>
          <c:yVal>
            <c:numRef>
              <c:f>损失查看_tmp!$C$2:$C$56</c:f>
              <c:numCache>
                <c:formatCode>0.00E+00</c:formatCode>
                <c:ptCount val="55"/>
                <c:pt idx="0">
                  <c:v>7.7356797383605898</c:v>
                </c:pt>
                <c:pt idx="1">
                  <c:v>7.7381283577369304</c:v>
                </c:pt>
                <c:pt idx="2">
                  <c:v>7.7397039434143204</c:v>
                </c:pt>
                <c:pt idx="3">
                  <c:v>7.7462318380910702</c:v>
                </c:pt>
                <c:pt idx="4">
                  <c:v>7.7488377666710297</c:v>
                </c:pt>
                <c:pt idx="5">
                  <c:v>7.75998690304014</c:v>
                </c:pt>
                <c:pt idx="6">
                  <c:v>7.75998690304014</c:v>
                </c:pt>
                <c:pt idx="7">
                  <c:v>7.7627355495693999</c:v>
                </c:pt>
                <c:pt idx="8">
                  <c:v>7.7858260404932302</c:v>
                </c:pt>
                <c:pt idx="9">
                  <c:v>7.8089139278663904</c:v>
                </c:pt>
                <c:pt idx="10">
                  <c:v>7.81337290651767</c:v>
                </c:pt>
                <c:pt idx="11">
                  <c:v>7.82443818799202</c:v>
                </c:pt>
                <c:pt idx="12">
                  <c:v>7.8331195085611798</c:v>
                </c:pt>
                <c:pt idx="13">
                  <c:v>7.8378015071343601</c:v>
                </c:pt>
                <c:pt idx="14">
                  <c:v>7.8478501867892696</c:v>
                </c:pt>
                <c:pt idx="15">
                  <c:v>7.8478501867892696</c:v>
                </c:pt>
                <c:pt idx="16">
                  <c:v>7.8651900437915598</c:v>
                </c:pt>
                <c:pt idx="17">
                  <c:v>7.8688999602462699</c:v>
                </c:pt>
                <c:pt idx="18">
                  <c:v>7.8930992838476897</c:v>
                </c:pt>
                <c:pt idx="19">
                  <c:v>7.9004537112562101</c:v>
                </c:pt>
                <c:pt idx="20">
                  <c:v>7.9004537112562101</c:v>
                </c:pt>
                <c:pt idx="21">
                  <c:v>7.9210343657326003</c:v>
                </c:pt>
                <c:pt idx="22">
                  <c:v>7.9221457019912203</c:v>
                </c:pt>
                <c:pt idx="23">
                  <c:v>7.9278198830266797</c:v>
                </c:pt>
                <c:pt idx="24">
                  <c:v>7.9301443886539804</c:v>
                </c:pt>
                <c:pt idx="25">
                  <c:v>7.9301443886539804</c:v>
                </c:pt>
                <c:pt idx="26">
                  <c:v>7.9313183914418701</c:v>
                </c:pt>
                <c:pt idx="27">
                  <c:v>7.9325012983518404</c:v>
                </c:pt>
                <c:pt idx="28">
                  <c:v>7.93613128476815</c:v>
                </c:pt>
                <c:pt idx="29">
                  <c:v>7.9575844727406304</c:v>
                </c:pt>
                <c:pt idx="30">
                  <c:v>7.9590425329224797</c:v>
                </c:pt>
                <c:pt idx="31">
                  <c:v>7.9696348568577102</c:v>
                </c:pt>
                <c:pt idx="32">
                  <c:v>8.0666701678325605</c:v>
                </c:pt>
                <c:pt idx="33">
                  <c:v>8.14426443622847</c:v>
                </c:pt>
                <c:pt idx="34">
                  <c:v>8.1772417312019794</c:v>
                </c:pt>
                <c:pt idx="35">
                  <c:v>8.2746453846277692</c:v>
                </c:pt>
                <c:pt idx="36">
                  <c:v>8.4181185830768008</c:v>
                </c:pt>
                <c:pt idx="37">
                  <c:v>8.4351268279829998</c:v>
                </c:pt>
                <c:pt idx="38">
                  <c:v>8.5112831358859609</c:v>
                </c:pt>
                <c:pt idx="39">
                  <c:v>8.6251551979986694</c:v>
                </c:pt>
                <c:pt idx="40">
                  <c:v>8.6623989372554</c:v>
                </c:pt>
                <c:pt idx="41">
                  <c:v>8.7367733393567502</c:v>
                </c:pt>
                <c:pt idx="42">
                  <c:v>8.7393613095840692</c:v>
                </c:pt>
                <c:pt idx="43">
                  <c:v>8.7488181144019705</c:v>
                </c:pt>
                <c:pt idx="44">
                  <c:v>8.7492769541603099</c:v>
                </c:pt>
                <c:pt idx="45">
                  <c:v>8.7481428067659799</c:v>
                </c:pt>
                <c:pt idx="46">
                  <c:v>8.7475327359628903</c:v>
                </c:pt>
                <c:pt idx="47">
                  <c:v>8.7425973306283797</c:v>
                </c:pt>
                <c:pt idx="48">
                  <c:v>8.7425973306283797</c:v>
                </c:pt>
                <c:pt idx="49">
                  <c:v>8.7365693594005904</c:v>
                </c:pt>
                <c:pt idx="50">
                  <c:v>8.7193773474725695</c:v>
                </c:pt>
                <c:pt idx="51">
                  <c:v>8.6994925443490896</c:v>
                </c:pt>
                <c:pt idx="52">
                  <c:v>8.68162612531939</c:v>
                </c:pt>
                <c:pt idx="53">
                  <c:v>8.6683985444297598</c:v>
                </c:pt>
                <c:pt idx="54">
                  <c:v>8.6327836593911904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F7-446B-BC6F-AEF924FB8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65088"/>
        <c:axId val="200263008"/>
      </c:scatterChart>
      <c:valAx>
        <c:axId val="20026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63008"/>
        <c:crosses val="autoZero"/>
        <c:crossBetween val="midCat"/>
      </c:valAx>
      <c:valAx>
        <c:axId val="200263008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6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损失查看_tmp!$F$1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损失查看_tmp!$E$2:$E$58</c:f>
              <c:numCache>
                <c:formatCode>General</c:formatCode>
                <c:ptCount val="57"/>
                <c:pt idx="0">
                  <c:v>5.2008299999999998</c:v>
                </c:pt>
                <c:pt idx="1">
                  <c:v>5.4232899999999997</c:v>
                </c:pt>
                <c:pt idx="2">
                  <c:v>5.6277600000000003</c:v>
                </c:pt>
                <c:pt idx="3">
                  <c:v>6.3595899999999999</c:v>
                </c:pt>
                <c:pt idx="4">
                  <c:v>6.5939399999999999</c:v>
                </c:pt>
                <c:pt idx="5">
                  <c:v>8.51938</c:v>
                </c:pt>
                <c:pt idx="6">
                  <c:v>8.5473300000000005</c:v>
                </c:pt>
                <c:pt idx="7">
                  <c:v>9.0229499999999998</c:v>
                </c:pt>
                <c:pt idx="8">
                  <c:v>11.9002</c:v>
                </c:pt>
                <c:pt idx="9">
                  <c:v>14.2896</c:v>
                </c:pt>
                <c:pt idx="10">
                  <c:v>14.879799999999999</c:v>
                </c:pt>
                <c:pt idx="11">
                  <c:v>16.4373</c:v>
                </c:pt>
                <c:pt idx="12">
                  <c:v>17.599900000000002</c:v>
                </c:pt>
                <c:pt idx="13">
                  <c:v>18.056699999999999</c:v>
                </c:pt>
                <c:pt idx="14">
                  <c:v>19.488499999999998</c:v>
                </c:pt>
                <c:pt idx="15">
                  <c:v>19.4894</c:v>
                </c:pt>
                <c:pt idx="16">
                  <c:v>21.633400000000002</c:v>
                </c:pt>
                <c:pt idx="17">
                  <c:v>21.974499999999999</c:v>
                </c:pt>
                <c:pt idx="18">
                  <c:v>24.737500000000001</c:v>
                </c:pt>
                <c:pt idx="19">
                  <c:v>25.3172</c:v>
                </c:pt>
                <c:pt idx="20">
                  <c:v>25.427299999999999</c:v>
                </c:pt>
                <c:pt idx="21">
                  <c:v>27.111999999999998</c:v>
                </c:pt>
                <c:pt idx="22">
                  <c:v>27.220199999999998</c:v>
                </c:pt>
                <c:pt idx="23">
                  <c:v>27.696899999999999</c:v>
                </c:pt>
                <c:pt idx="24">
                  <c:v>27.8142</c:v>
                </c:pt>
                <c:pt idx="25">
                  <c:v>27.823399999999999</c:v>
                </c:pt>
                <c:pt idx="26">
                  <c:v>27.9481</c:v>
                </c:pt>
                <c:pt idx="27">
                  <c:v>28.070699999999999</c:v>
                </c:pt>
                <c:pt idx="28">
                  <c:v>28.285699999999999</c:v>
                </c:pt>
                <c:pt idx="29">
                  <c:v>29.722200000000001</c:v>
                </c:pt>
                <c:pt idx="30">
                  <c:v>29.852</c:v>
                </c:pt>
                <c:pt idx="31">
                  <c:v>29.977900000000002</c:v>
                </c:pt>
                <c:pt idx="32">
                  <c:v>30.428599999999999</c:v>
                </c:pt>
                <c:pt idx="33">
                  <c:v>34.844200000000001</c:v>
                </c:pt>
                <c:pt idx="34">
                  <c:v>37.115000000000002</c:v>
                </c:pt>
                <c:pt idx="35">
                  <c:v>37.951900000000002</c:v>
                </c:pt>
                <c:pt idx="36">
                  <c:v>39.976199999999999</c:v>
                </c:pt>
                <c:pt idx="37">
                  <c:v>42.356200000000001</c:v>
                </c:pt>
                <c:pt idx="38">
                  <c:v>42.593000000000004</c:v>
                </c:pt>
                <c:pt idx="39">
                  <c:v>43.6599</c:v>
                </c:pt>
                <c:pt idx="40">
                  <c:v>45.558799999999998</c:v>
                </c:pt>
                <c:pt idx="41">
                  <c:v>46.393599999999999</c:v>
                </c:pt>
                <c:pt idx="42">
                  <c:v>49.0229</c:v>
                </c:pt>
                <c:pt idx="43">
                  <c:v>49.133299999999998</c:v>
                </c:pt>
                <c:pt idx="44">
                  <c:v>49.255600000000001</c:v>
                </c:pt>
                <c:pt idx="45">
                  <c:v>50.218499999999999</c:v>
                </c:pt>
                <c:pt idx="46">
                  <c:v>50.326599999999999</c:v>
                </c:pt>
                <c:pt idx="47">
                  <c:v>51.520299999999999</c:v>
                </c:pt>
                <c:pt idx="48">
                  <c:v>51.760100000000001</c:v>
                </c:pt>
                <c:pt idx="49">
                  <c:v>51.996400000000001</c:v>
                </c:pt>
                <c:pt idx="50">
                  <c:v>52.593200000000003</c:v>
                </c:pt>
                <c:pt idx="51">
                  <c:v>52.832299999999996</c:v>
                </c:pt>
                <c:pt idx="52">
                  <c:v>54.023400000000002</c:v>
                </c:pt>
                <c:pt idx="53">
                  <c:v>55.099200000000003</c:v>
                </c:pt>
                <c:pt idx="54">
                  <c:v>56.052100000000003</c:v>
                </c:pt>
                <c:pt idx="55">
                  <c:v>56.768099999999997</c:v>
                </c:pt>
                <c:pt idx="56">
                  <c:v>58.316699999999997</c:v>
                </c:pt>
              </c:numCache>
            </c:numRef>
          </c:xVal>
          <c:yVal>
            <c:numRef>
              <c:f>损失查看_tmp!$F$2:$F$58</c:f>
              <c:numCache>
                <c:formatCode>General</c:formatCode>
                <c:ptCount val="57"/>
                <c:pt idx="0">
                  <c:v>1.5317499999999999</c:v>
                </c:pt>
                <c:pt idx="1">
                  <c:v>1.1953400000000001</c:v>
                </c:pt>
                <c:pt idx="2">
                  <c:v>0.48190500000000003</c:v>
                </c:pt>
                <c:pt idx="3">
                  <c:v>0.82419299999999995</c:v>
                </c:pt>
                <c:pt idx="4">
                  <c:v>0.737205</c:v>
                </c:pt>
                <c:pt idx="5">
                  <c:v>1.1027899999999999</c:v>
                </c:pt>
                <c:pt idx="6">
                  <c:v>1.6886399999999999</c:v>
                </c:pt>
                <c:pt idx="7">
                  <c:v>1.65968</c:v>
                </c:pt>
                <c:pt idx="8">
                  <c:v>1.9789399999999999</c:v>
                </c:pt>
                <c:pt idx="9">
                  <c:v>2.0719500000000002</c:v>
                </c:pt>
                <c:pt idx="10">
                  <c:v>1.9443900000000001</c:v>
                </c:pt>
                <c:pt idx="11">
                  <c:v>2.0953300000000001</c:v>
                </c:pt>
                <c:pt idx="12">
                  <c:v>1.46898</c:v>
                </c:pt>
                <c:pt idx="13">
                  <c:v>1.04558</c:v>
                </c:pt>
                <c:pt idx="14">
                  <c:v>1.0630999999999999</c:v>
                </c:pt>
                <c:pt idx="15">
                  <c:v>1.0805</c:v>
                </c:pt>
                <c:pt idx="16">
                  <c:v>1.02847</c:v>
                </c:pt>
                <c:pt idx="17">
                  <c:v>0.68047500000000005</c:v>
                </c:pt>
                <c:pt idx="18">
                  <c:v>1.1041399999999999</c:v>
                </c:pt>
                <c:pt idx="19">
                  <c:v>0.756158</c:v>
                </c:pt>
                <c:pt idx="20">
                  <c:v>0.56475200000000003</c:v>
                </c:pt>
                <c:pt idx="21">
                  <c:v>0.88391699999999995</c:v>
                </c:pt>
                <c:pt idx="22">
                  <c:v>0.65190800000000004</c:v>
                </c:pt>
                <c:pt idx="23">
                  <c:v>0.64614700000000003</c:v>
                </c:pt>
                <c:pt idx="24">
                  <c:v>0.60555300000000001</c:v>
                </c:pt>
                <c:pt idx="25">
                  <c:v>0.79696900000000004</c:v>
                </c:pt>
                <c:pt idx="26">
                  <c:v>0.91298900000000005</c:v>
                </c:pt>
                <c:pt idx="27">
                  <c:v>0.98260400000000003</c:v>
                </c:pt>
                <c:pt idx="28">
                  <c:v>0.48958299999999999</c:v>
                </c:pt>
                <c:pt idx="29">
                  <c:v>0.605711</c:v>
                </c:pt>
                <c:pt idx="30">
                  <c:v>0.82613999999999999</c:v>
                </c:pt>
                <c:pt idx="31">
                  <c:v>0.96536100000000002</c:v>
                </c:pt>
                <c:pt idx="32">
                  <c:v>0.414354</c:v>
                </c:pt>
                <c:pt idx="33">
                  <c:v>0.48432599999999998</c:v>
                </c:pt>
                <c:pt idx="34">
                  <c:v>0.58892199999999995</c:v>
                </c:pt>
                <c:pt idx="35">
                  <c:v>0.63539500000000004</c:v>
                </c:pt>
                <c:pt idx="36">
                  <c:v>0.57175799999999999</c:v>
                </c:pt>
                <c:pt idx="37">
                  <c:v>0.46754699999999999</c:v>
                </c:pt>
                <c:pt idx="38">
                  <c:v>0.43276399999999998</c:v>
                </c:pt>
                <c:pt idx="39">
                  <c:v>0.29944100000000001</c:v>
                </c:pt>
                <c:pt idx="40">
                  <c:v>0.108184</c:v>
                </c:pt>
                <c:pt idx="41">
                  <c:v>0.108253</c:v>
                </c:pt>
                <c:pt idx="42">
                  <c:v>0.23028000000000001</c:v>
                </c:pt>
                <c:pt idx="43">
                  <c:v>4.4674600000000002E-2</c:v>
                </c:pt>
                <c:pt idx="44">
                  <c:v>0.10849</c:v>
                </c:pt>
                <c:pt idx="45">
                  <c:v>0.294184</c:v>
                </c:pt>
                <c:pt idx="46">
                  <c:v>6.2174899999999998E-2</c:v>
                </c:pt>
                <c:pt idx="47">
                  <c:v>8.5475700000000002E-2</c:v>
                </c:pt>
                <c:pt idx="48">
                  <c:v>0.114498</c:v>
                </c:pt>
                <c:pt idx="49">
                  <c:v>6.8113699999999999E-2</c:v>
                </c:pt>
                <c:pt idx="50">
                  <c:v>7.9764100000000004E-2</c:v>
                </c:pt>
                <c:pt idx="51">
                  <c:v>9.1384800000000002E-2</c:v>
                </c:pt>
                <c:pt idx="52">
                  <c:v>6.2481200000000001E-2</c:v>
                </c:pt>
                <c:pt idx="53">
                  <c:v>0.114775</c:v>
                </c:pt>
                <c:pt idx="54">
                  <c:v>9.16516E-2</c:v>
                </c:pt>
                <c:pt idx="55">
                  <c:v>0.103312</c:v>
                </c:pt>
                <c:pt idx="56">
                  <c:v>6.8637400000000001E-2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54-431F-BC06-27584623E5B7}"/>
            </c:ext>
          </c:extLst>
        </c:ser>
        <c:ser>
          <c:idx val="1"/>
          <c:order val="1"/>
          <c:tx>
            <c:strRef>
              <c:f>损失查看_tmp!$G$1</c:f>
              <c:strCache>
                <c:ptCount val="1"/>
                <c:pt idx="0">
                  <c:v>Ca1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损失查看_tmp!$E$2:$E$58</c:f>
              <c:numCache>
                <c:formatCode>General</c:formatCode>
                <c:ptCount val="57"/>
                <c:pt idx="0">
                  <c:v>5.2008299999999998</c:v>
                </c:pt>
                <c:pt idx="1">
                  <c:v>5.4232899999999997</c:v>
                </c:pt>
                <c:pt idx="2">
                  <c:v>5.6277600000000003</c:v>
                </c:pt>
                <c:pt idx="3">
                  <c:v>6.3595899999999999</c:v>
                </c:pt>
                <c:pt idx="4">
                  <c:v>6.5939399999999999</c:v>
                </c:pt>
                <c:pt idx="5">
                  <c:v>8.51938</c:v>
                </c:pt>
                <c:pt idx="6">
                  <c:v>8.5473300000000005</c:v>
                </c:pt>
                <c:pt idx="7">
                  <c:v>9.0229499999999998</c:v>
                </c:pt>
                <c:pt idx="8">
                  <c:v>11.9002</c:v>
                </c:pt>
                <c:pt idx="9">
                  <c:v>14.2896</c:v>
                </c:pt>
                <c:pt idx="10">
                  <c:v>14.879799999999999</c:v>
                </c:pt>
                <c:pt idx="11">
                  <c:v>16.4373</c:v>
                </c:pt>
                <c:pt idx="12">
                  <c:v>17.599900000000002</c:v>
                </c:pt>
                <c:pt idx="13">
                  <c:v>18.056699999999999</c:v>
                </c:pt>
                <c:pt idx="14">
                  <c:v>19.488499999999998</c:v>
                </c:pt>
                <c:pt idx="15">
                  <c:v>19.4894</c:v>
                </c:pt>
                <c:pt idx="16">
                  <c:v>21.633400000000002</c:v>
                </c:pt>
                <c:pt idx="17">
                  <c:v>21.974499999999999</c:v>
                </c:pt>
                <c:pt idx="18">
                  <c:v>24.737500000000001</c:v>
                </c:pt>
                <c:pt idx="19">
                  <c:v>25.3172</c:v>
                </c:pt>
                <c:pt idx="20">
                  <c:v>25.427299999999999</c:v>
                </c:pt>
                <c:pt idx="21">
                  <c:v>27.111999999999998</c:v>
                </c:pt>
                <c:pt idx="22">
                  <c:v>27.220199999999998</c:v>
                </c:pt>
                <c:pt idx="23">
                  <c:v>27.696899999999999</c:v>
                </c:pt>
                <c:pt idx="24">
                  <c:v>27.8142</c:v>
                </c:pt>
                <c:pt idx="25">
                  <c:v>27.823399999999999</c:v>
                </c:pt>
                <c:pt idx="26">
                  <c:v>27.9481</c:v>
                </c:pt>
                <c:pt idx="27">
                  <c:v>28.070699999999999</c:v>
                </c:pt>
                <c:pt idx="28">
                  <c:v>28.285699999999999</c:v>
                </c:pt>
                <c:pt idx="29">
                  <c:v>29.722200000000001</c:v>
                </c:pt>
                <c:pt idx="30">
                  <c:v>29.852</c:v>
                </c:pt>
                <c:pt idx="31">
                  <c:v>29.977900000000002</c:v>
                </c:pt>
                <c:pt idx="32">
                  <c:v>30.428599999999999</c:v>
                </c:pt>
                <c:pt idx="33">
                  <c:v>34.844200000000001</c:v>
                </c:pt>
                <c:pt idx="34">
                  <c:v>37.115000000000002</c:v>
                </c:pt>
                <c:pt idx="35">
                  <c:v>37.951900000000002</c:v>
                </c:pt>
                <c:pt idx="36">
                  <c:v>39.976199999999999</c:v>
                </c:pt>
                <c:pt idx="37">
                  <c:v>42.356200000000001</c:v>
                </c:pt>
                <c:pt idx="38">
                  <c:v>42.593000000000004</c:v>
                </c:pt>
                <c:pt idx="39">
                  <c:v>43.6599</c:v>
                </c:pt>
                <c:pt idx="40">
                  <c:v>45.558799999999998</c:v>
                </c:pt>
                <c:pt idx="41">
                  <c:v>46.393599999999999</c:v>
                </c:pt>
                <c:pt idx="42">
                  <c:v>49.0229</c:v>
                </c:pt>
                <c:pt idx="43">
                  <c:v>49.133299999999998</c:v>
                </c:pt>
                <c:pt idx="44">
                  <c:v>49.255600000000001</c:v>
                </c:pt>
                <c:pt idx="45">
                  <c:v>50.218499999999999</c:v>
                </c:pt>
                <c:pt idx="46">
                  <c:v>50.326599999999999</c:v>
                </c:pt>
                <c:pt idx="47">
                  <c:v>51.520299999999999</c:v>
                </c:pt>
                <c:pt idx="48">
                  <c:v>51.760100000000001</c:v>
                </c:pt>
                <c:pt idx="49">
                  <c:v>51.996400000000001</c:v>
                </c:pt>
                <c:pt idx="50">
                  <c:v>52.593200000000003</c:v>
                </c:pt>
                <c:pt idx="51">
                  <c:v>52.832299999999996</c:v>
                </c:pt>
                <c:pt idx="52">
                  <c:v>54.023400000000002</c:v>
                </c:pt>
                <c:pt idx="53">
                  <c:v>55.099200000000003</c:v>
                </c:pt>
                <c:pt idx="54">
                  <c:v>56.052100000000003</c:v>
                </c:pt>
                <c:pt idx="55">
                  <c:v>56.768099999999997</c:v>
                </c:pt>
                <c:pt idx="56">
                  <c:v>58.316699999999997</c:v>
                </c:pt>
              </c:numCache>
            </c:numRef>
          </c:xVal>
          <c:yVal>
            <c:numRef>
              <c:f>损失查看_tmp!$G$2:$G$58</c:f>
              <c:numCache>
                <c:formatCode>0.00E+00</c:formatCode>
                <c:ptCount val="57"/>
                <c:pt idx="0">
                  <c:v>1.4089415519800199</c:v>
                </c:pt>
                <c:pt idx="1">
                  <c:v>1.40222745743502</c:v>
                </c:pt>
                <c:pt idx="2">
                  <c:v>1.3962794969896499</c:v>
                </c:pt>
                <c:pt idx="3">
                  <c:v>1.3767426236498099</c:v>
                </c:pt>
                <c:pt idx="4">
                  <c:v>1.3710653084178701</c:v>
                </c:pt>
                <c:pt idx="5">
                  <c:v>1.33395571729534</c:v>
                </c:pt>
                <c:pt idx="6">
                  <c:v>1.3334513905215599</c:v>
                </c:pt>
                <c:pt idx="7">
                  <c:v>1.3245086126699801</c:v>
                </c:pt>
                <c:pt idx="8">
                  <c:v>1.25587934096244</c:v>
                </c:pt>
                <c:pt idx="9">
                  <c:v>1.1942788623568401</c:v>
                </c:pt>
                <c:pt idx="10">
                  <c:v>1.1812202388189199</c:v>
                </c:pt>
                <c:pt idx="11">
                  <c:v>1.15066367558937</c:v>
                </c:pt>
                <c:pt idx="12">
                  <c:v>1.12928148022471</c:v>
                </c:pt>
                <c:pt idx="13">
                  <c:v>1.1209712995780801</c:v>
                </c:pt>
                <c:pt idx="14">
                  <c:v>1.09525695346347</c:v>
                </c:pt>
                <c:pt idx="15">
                  <c:v>1.09524094883652</c:v>
                </c:pt>
                <c:pt idx="16">
                  <c:v>1.0567658281552801</c:v>
                </c:pt>
                <c:pt idx="17">
                  <c:v>1.0504725300301001</c:v>
                </c:pt>
                <c:pt idx="18">
                  <c:v>0.99729201370738396</c:v>
                </c:pt>
                <c:pt idx="19">
                  <c:v>0.98507877975102998</c:v>
                </c:pt>
                <c:pt idx="20">
                  <c:v>0.98269808003593095</c:v>
                </c:pt>
                <c:pt idx="21">
                  <c:v>0.94383745663729102</c:v>
                </c:pt>
                <c:pt idx="22">
                  <c:v>0.94118558424188703</c:v>
                </c:pt>
                <c:pt idx="23">
                  <c:v>0.92927786788706401</c:v>
                </c:pt>
                <c:pt idx="24">
                  <c:v>0.92629172829017603</c:v>
                </c:pt>
                <c:pt idx="25">
                  <c:v>0.92605658511075195</c:v>
                </c:pt>
                <c:pt idx="26">
                  <c:v>0.92285594145762995</c:v>
                </c:pt>
                <c:pt idx="27">
                  <c:v>0.91968293794347</c:v>
                </c:pt>
                <c:pt idx="28">
                  <c:v>0.91403473925669898</c:v>
                </c:pt>
                <c:pt idx="29">
                  <c:v>0.87350023576805103</c:v>
                </c:pt>
                <c:pt idx="30">
                  <c:v>0.86959793357331205</c:v>
                </c:pt>
                <c:pt idx="31">
                  <c:v>0.86577493088303803</c:v>
                </c:pt>
                <c:pt idx="32">
                  <c:v>0.85178289999175505</c:v>
                </c:pt>
                <c:pt idx="33">
                  <c:v>0.68760022636923501</c:v>
                </c:pt>
                <c:pt idx="34">
                  <c:v>0.58217673188004404</c:v>
                </c:pt>
                <c:pt idx="35">
                  <c:v>0.53960772866987705</c:v>
                </c:pt>
                <c:pt idx="36">
                  <c:v>0.42832580235602102</c:v>
                </c:pt>
                <c:pt idx="37">
                  <c:v>0.30463442769648702</c:v>
                </c:pt>
                <c:pt idx="38">
                  <c:v>0.29391500123700198</c:v>
                </c:pt>
                <c:pt idx="39">
                  <c:v>0.249182279276424</c:v>
                </c:pt>
                <c:pt idx="40">
                  <c:v>0.186428194220499</c:v>
                </c:pt>
                <c:pt idx="41">
                  <c:v>0.16692176552891899</c:v>
                </c:pt>
                <c:pt idx="42">
                  <c:v>0.13537092298832101</c:v>
                </c:pt>
                <c:pt idx="43">
                  <c:v>0.13464695840441601</c:v>
                </c:pt>
                <c:pt idx="44">
                  <c:v>0.13387643158885101</c:v>
                </c:pt>
                <c:pt idx="45">
                  <c:v>0.12896549796861201</c:v>
                </c:pt>
                <c:pt idx="46">
                  <c:v>0.128542210642624</c:v>
                </c:pt>
                <c:pt idx="47">
                  <c:v>0.12558660251509601</c:v>
                </c:pt>
                <c:pt idx="48">
                  <c:v>0.125373022345179</c:v>
                </c:pt>
                <c:pt idx="49">
                  <c:v>0.12528697894758301</c:v>
                </c:pt>
                <c:pt idx="50">
                  <c:v>0.12536259262886801</c:v>
                </c:pt>
                <c:pt idx="51">
                  <c:v>0.12546799111677301</c:v>
                </c:pt>
                <c:pt idx="52">
                  <c:v>0.126633157898322</c:v>
                </c:pt>
                <c:pt idx="53">
                  <c:v>0.12860191626002401</c:v>
                </c:pt>
                <c:pt idx="54">
                  <c:v>0.13107132034074001</c:v>
                </c:pt>
                <c:pt idx="55">
                  <c:v>0.133193661514487</c:v>
                </c:pt>
                <c:pt idx="56">
                  <c:v>0.13801017873713201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54-431F-BC06-27584623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297440"/>
        <c:axId val="818298688"/>
      </c:scatterChart>
      <c:valAx>
        <c:axId val="81829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298688"/>
        <c:crosses val="autoZero"/>
        <c:crossBetween val="midCat"/>
      </c:valAx>
      <c:valAx>
        <c:axId val="8182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2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损失查看_tmp!$J$1</c:f>
              <c:strCache>
                <c:ptCount val="1"/>
                <c:pt idx="0">
                  <c:v>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损失查看_tmp!$I$2:$I$51</c:f>
              <c:numCache>
                <c:formatCode>General</c:formatCode>
                <c:ptCount val="50"/>
                <c:pt idx="0">
                  <c:v>4.9915099999999999</c:v>
                </c:pt>
                <c:pt idx="1">
                  <c:v>5.4668900000000002</c:v>
                </c:pt>
                <c:pt idx="2">
                  <c:v>6.4176599999999997</c:v>
                </c:pt>
                <c:pt idx="3">
                  <c:v>6.6553500000000003</c:v>
                </c:pt>
                <c:pt idx="4">
                  <c:v>8.4380299999999995</c:v>
                </c:pt>
                <c:pt idx="5">
                  <c:v>9.0322600000000008</c:v>
                </c:pt>
                <c:pt idx="6">
                  <c:v>11.765700000000001</c:v>
                </c:pt>
                <c:pt idx="7">
                  <c:v>14.2615</c:v>
                </c:pt>
                <c:pt idx="8">
                  <c:v>14.855700000000001</c:v>
                </c:pt>
                <c:pt idx="9">
                  <c:v>16.2818</c:v>
                </c:pt>
                <c:pt idx="10">
                  <c:v>17.470300000000002</c:v>
                </c:pt>
                <c:pt idx="11">
                  <c:v>17.945699999999999</c:v>
                </c:pt>
                <c:pt idx="12">
                  <c:v>19.3718</c:v>
                </c:pt>
                <c:pt idx="13">
                  <c:v>21.629899999999999</c:v>
                </c:pt>
                <c:pt idx="14">
                  <c:v>21.9864</c:v>
                </c:pt>
                <c:pt idx="15">
                  <c:v>24.600999999999999</c:v>
                </c:pt>
                <c:pt idx="16">
                  <c:v>25.4329</c:v>
                </c:pt>
                <c:pt idx="17">
                  <c:v>27.334499999999998</c:v>
                </c:pt>
                <c:pt idx="18">
                  <c:v>27.690999999999999</c:v>
                </c:pt>
                <c:pt idx="19">
                  <c:v>27.928699999999999</c:v>
                </c:pt>
                <c:pt idx="20">
                  <c:v>28.047499999999999</c:v>
                </c:pt>
                <c:pt idx="21">
                  <c:v>28.2852</c:v>
                </c:pt>
                <c:pt idx="22">
                  <c:v>29.592500000000001</c:v>
                </c:pt>
                <c:pt idx="23">
                  <c:v>29.711400000000001</c:v>
                </c:pt>
                <c:pt idx="24">
                  <c:v>30.424399999999999</c:v>
                </c:pt>
                <c:pt idx="25">
                  <c:v>34.8217</c:v>
                </c:pt>
                <c:pt idx="26">
                  <c:v>37.198599999999999</c:v>
                </c:pt>
                <c:pt idx="27">
                  <c:v>37.911700000000003</c:v>
                </c:pt>
                <c:pt idx="28">
                  <c:v>39.813200000000002</c:v>
                </c:pt>
                <c:pt idx="29">
                  <c:v>42.308999999999997</c:v>
                </c:pt>
                <c:pt idx="30">
                  <c:v>42.546700000000001</c:v>
                </c:pt>
                <c:pt idx="31">
                  <c:v>43.616300000000003</c:v>
                </c:pt>
                <c:pt idx="32">
                  <c:v>45.636699999999998</c:v>
                </c:pt>
                <c:pt idx="33">
                  <c:v>46.349699999999999</c:v>
                </c:pt>
                <c:pt idx="34">
                  <c:v>48.964300000000001</c:v>
                </c:pt>
                <c:pt idx="35">
                  <c:v>49.083199999999998</c:v>
                </c:pt>
                <c:pt idx="36">
                  <c:v>49.201999999999998</c:v>
                </c:pt>
                <c:pt idx="37">
                  <c:v>50.152799999999999</c:v>
                </c:pt>
                <c:pt idx="38">
                  <c:v>50.271599999999999</c:v>
                </c:pt>
                <c:pt idx="39">
                  <c:v>51.578899999999997</c:v>
                </c:pt>
                <c:pt idx="40">
                  <c:v>51.697800000000001</c:v>
                </c:pt>
                <c:pt idx="41">
                  <c:v>52.173200000000001</c:v>
                </c:pt>
                <c:pt idx="42">
                  <c:v>52.173200000000001</c:v>
                </c:pt>
                <c:pt idx="43">
                  <c:v>52.767400000000002</c:v>
                </c:pt>
                <c:pt idx="44">
                  <c:v>53.9559</c:v>
                </c:pt>
                <c:pt idx="45">
                  <c:v>55.144300000000001</c:v>
                </c:pt>
                <c:pt idx="46">
                  <c:v>55.976199999999999</c:v>
                </c:pt>
                <c:pt idx="47">
                  <c:v>55.976199999999999</c:v>
                </c:pt>
                <c:pt idx="48">
                  <c:v>56.570500000000003</c:v>
                </c:pt>
                <c:pt idx="49">
                  <c:v>58.353099999999998</c:v>
                </c:pt>
              </c:numCache>
            </c:numRef>
          </c:xVal>
          <c:yVal>
            <c:numRef>
              <c:f>损失查看_tmp!$J$2:$J$51</c:f>
              <c:numCache>
                <c:formatCode>General</c:formatCode>
                <c:ptCount val="50"/>
                <c:pt idx="0">
                  <c:v>8.6372599999999994E-2</c:v>
                </c:pt>
                <c:pt idx="1">
                  <c:v>1.8361800000000001E-2</c:v>
                </c:pt>
                <c:pt idx="2">
                  <c:v>1.5614699999999999E-3</c:v>
                </c:pt>
                <c:pt idx="3">
                  <c:v>1.6193100000000001E-3</c:v>
                </c:pt>
                <c:pt idx="4">
                  <c:v>1.90847E-2</c:v>
                </c:pt>
                <c:pt idx="5">
                  <c:v>1.9229300000000001E-2</c:v>
                </c:pt>
                <c:pt idx="6">
                  <c:v>1.98943E-2</c:v>
                </c:pt>
                <c:pt idx="7">
                  <c:v>2.0501599999999998E-2</c:v>
                </c:pt>
                <c:pt idx="8">
                  <c:v>2.06462E-2</c:v>
                </c:pt>
                <c:pt idx="9">
                  <c:v>2.0993100000000001E-2</c:v>
                </c:pt>
                <c:pt idx="10">
                  <c:v>2.1282300000000001E-2</c:v>
                </c:pt>
                <c:pt idx="11">
                  <c:v>8.9524500000000007E-2</c:v>
                </c:pt>
                <c:pt idx="12">
                  <c:v>4.7133399999999999E-3</c:v>
                </c:pt>
                <c:pt idx="13">
                  <c:v>3.9326E-2</c:v>
                </c:pt>
                <c:pt idx="14">
                  <c:v>0.209729</c:v>
                </c:pt>
                <c:pt idx="15">
                  <c:v>7.4112200000000003E-2</c:v>
                </c:pt>
                <c:pt idx="16">
                  <c:v>0.108378</c:v>
                </c:pt>
                <c:pt idx="17">
                  <c:v>0.27915699999999999</c:v>
                </c:pt>
                <c:pt idx="18">
                  <c:v>0.364402</c:v>
                </c:pt>
                <c:pt idx="19">
                  <c:v>0.17711199999999999</c:v>
                </c:pt>
                <c:pt idx="20">
                  <c:v>6.8242199999999998E-3</c:v>
                </c:pt>
                <c:pt idx="21">
                  <c:v>0.50079899999999999</c:v>
                </c:pt>
                <c:pt idx="22">
                  <c:v>0.398928</c:v>
                </c:pt>
                <c:pt idx="23">
                  <c:v>0.17754500000000001</c:v>
                </c:pt>
                <c:pt idx="24">
                  <c:v>0.31397199999999997</c:v>
                </c:pt>
                <c:pt idx="25">
                  <c:v>0.43426300000000001</c:v>
                </c:pt>
                <c:pt idx="26">
                  <c:v>0.99688500000000002</c:v>
                </c:pt>
                <c:pt idx="27">
                  <c:v>2.3425600000000002</c:v>
                </c:pt>
                <c:pt idx="28">
                  <c:v>2.9050600000000002</c:v>
                </c:pt>
                <c:pt idx="29">
                  <c:v>1.1343799999999999</c:v>
                </c:pt>
                <c:pt idx="30">
                  <c:v>1.42398</c:v>
                </c:pt>
                <c:pt idx="31">
                  <c:v>1.7989299999999999</c:v>
                </c:pt>
                <c:pt idx="32">
                  <c:v>1.91865</c:v>
                </c:pt>
                <c:pt idx="33">
                  <c:v>1.1353599999999999</c:v>
                </c:pt>
                <c:pt idx="34">
                  <c:v>3.4523000000000001</c:v>
                </c:pt>
                <c:pt idx="35">
                  <c:v>2.85622</c:v>
                </c:pt>
                <c:pt idx="36">
                  <c:v>3.0436000000000001</c:v>
                </c:pt>
                <c:pt idx="37">
                  <c:v>3.0268000000000002</c:v>
                </c:pt>
                <c:pt idx="38">
                  <c:v>2.8224499999999999</c:v>
                </c:pt>
                <c:pt idx="39">
                  <c:v>3.19746</c:v>
                </c:pt>
                <c:pt idx="40">
                  <c:v>2.9079600000000001</c:v>
                </c:pt>
                <c:pt idx="41">
                  <c:v>2.8740100000000002</c:v>
                </c:pt>
                <c:pt idx="42">
                  <c:v>3.1635499999999999</c:v>
                </c:pt>
                <c:pt idx="43">
                  <c:v>3.8960499999999998</c:v>
                </c:pt>
                <c:pt idx="44">
                  <c:v>2.1080199999999998</c:v>
                </c:pt>
                <c:pt idx="45">
                  <c:v>1.81877</c:v>
                </c:pt>
                <c:pt idx="46">
                  <c:v>4.2885600000000004</c:v>
                </c:pt>
                <c:pt idx="47">
                  <c:v>6.0257800000000001</c:v>
                </c:pt>
                <c:pt idx="48">
                  <c:v>5.1573200000000003</c:v>
                </c:pt>
                <c:pt idx="49">
                  <c:v>5.0044700000000004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35-49F1-8F0A-BE41B62B7F08}"/>
            </c:ext>
          </c:extLst>
        </c:ser>
        <c:ser>
          <c:idx val="1"/>
          <c:order val="1"/>
          <c:tx>
            <c:strRef>
              <c:f>损失查看_tmp!$K$1</c:f>
              <c:strCache>
                <c:ptCount val="1"/>
                <c:pt idx="0">
                  <c:v>Na1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损失查看_tmp!$I$2:$I$51</c:f>
              <c:numCache>
                <c:formatCode>General</c:formatCode>
                <c:ptCount val="50"/>
                <c:pt idx="0">
                  <c:v>4.9915099999999999</c:v>
                </c:pt>
                <c:pt idx="1">
                  <c:v>5.4668900000000002</c:v>
                </c:pt>
                <c:pt idx="2">
                  <c:v>6.4176599999999997</c:v>
                </c:pt>
                <c:pt idx="3">
                  <c:v>6.6553500000000003</c:v>
                </c:pt>
                <c:pt idx="4">
                  <c:v>8.4380299999999995</c:v>
                </c:pt>
                <c:pt idx="5">
                  <c:v>9.0322600000000008</c:v>
                </c:pt>
                <c:pt idx="6">
                  <c:v>11.765700000000001</c:v>
                </c:pt>
                <c:pt idx="7">
                  <c:v>14.2615</c:v>
                </c:pt>
                <c:pt idx="8">
                  <c:v>14.855700000000001</c:v>
                </c:pt>
                <c:pt idx="9">
                  <c:v>16.2818</c:v>
                </c:pt>
                <c:pt idx="10">
                  <c:v>17.470300000000002</c:v>
                </c:pt>
                <c:pt idx="11">
                  <c:v>17.945699999999999</c:v>
                </c:pt>
                <c:pt idx="12">
                  <c:v>19.3718</c:v>
                </c:pt>
                <c:pt idx="13">
                  <c:v>21.629899999999999</c:v>
                </c:pt>
                <c:pt idx="14">
                  <c:v>21.9864</c:v>
                </c:pt>
                <c:pt idx="15">
                  <c:v>24.600999999999999</c:v>
                </c:pt>
                <c:pt idx="16">
                  <c:v>25.4329</c:v>
                </c:pt>
                <c:pt idx="17">
                  <c:v>27.334499999999998</c:v>
                </c:pt>
                <c:pt idx="18">
                  <c:v>27.690999999999999</c:v>
                </c:pt>
                <c:pt idx="19">
                  <c:v>27.928699999999999</c:v>
                </c:pt>
                <c:pt idx="20">
                  <c:v>28.047499999999999</c:v>
                </c:pt>
                <c:pt idx="21">
                  <c:v>28.2852</c:v>
                </c:pt>
                <c:pt idx="22">
                  <c:v>29.592500000000001</c:v>
                </c:pt>
                <c:pt idx="23">
                  <c:v>29.711400000000001</c:v>
                </c:pt>
                <c:pt idx="24">
                  <c:v>30.424399999999999</c:v>
                </c:pt>
                <c:pt idx="25">
                  <c:v>34.8217</c:v>
                </c:pt>
                <c:pt idx="26">
                  <c:v>37.198599999999999</c:v>
                </c:pt>
                <c:pt idx="27">
                  <c:v>37.911700000000003</c:v>
                </c:pt>
                <c:pt idx="28">
                  <c:v>39.813200000000002</c:v>
                </c:pt>
                <c:pt idx="29">
                  <c:v>42.308999999999997</c:v>
                </c:pt>
                <c:pt idx="30">
                  <c:v>42.546700000000001</c:v>
                </c:pt>
                <c:pt idx="31">
                  <c:v>43.616300000000003</c:v>
                </c:pt>
                <c:pt idx="32">
                  <c:v>45.636699999999998</c:v>
                </c:pt>
                <c:pt idx="33">
                  <c:v>46.349699999999999</c:v>
                </c:pt>
                <c:pt idx="34">
                  <c:v>48.964300000000001</c:v>
                </c:pt>
                <c:pt idx="35">
                  <c:v>49.083199999999998</c:v>
                </c:pt>
                <c:pt idx="36">
                  <c:v>49.201999999999998</c:v>
                </c:pt>
                <c:pt idx="37">
                  <c:v>50.152799999999999</c:v>
                </c:pt>
                <c:pt idx="38">
                  <c:v>50.271599999999999</c:v>
                </c:pt>
                <c:pt idx="39">
                  <c:v>51.578899999999997</c:v>
                </c:pt>
                <c:pt idx="40">
                  <c:v>51.697800000000001</c:v>
                </c:pt>
                <c:pt idx="41">
                  <c:v>52.173200000000001</c:v>
                </c:pt>
                <c:pt idx="42">
                  <c:v>52.173200000000001</c:v>
                </c:pt>
                <c:pt idx="43">
                  <c:v>52.767400000000002</c:v>
                </c:pt>
                <c:pt idx="44">
                  <c:v>53.9559</c:v>
                </c:pt>
                <c:pt idx="45">
                  <c:v>55.144300000000001</c:v>
                </c:pt>
                <c:pt idx="46">
                  <c:v>55.976199999999999</c:v>
                </c:pt>
                <c:pt idx="47">
                  <c:v>55.976199999999999</c:v>
                </c:pt>
                <c:pt idx="48">
                  <c:v>56.570500000000003</c:v>
                </c:pt>
                <c:pt idx="49">
                  <c:v>58.353099999999998</c:v>
                </c:pt>
              </c:numCache>
            </c:numRef>
          </c:xVal>
          <c:yVal>
            <c:numRef>
              <c:f>损失查看_tmp!$K$2:$K$51</c:f>
              <c:numCache>
                <c:formatCode>0.00E+00</c:formatCode>
                <c:ptCount val="50"/>
                <c:pt idx="0">
                  <c:v>0.10748330874565699</c:v>
                </c:pt>
                <c:pt idx="1">
                  <c:v>0.108330410816088</c:v>
                </c:pt>
                <c:pt idx="2">
                  <c:v>0.10982189921754</c:v>
                </c:pt>
                <c:pt idx="3">
                  <c:v>0.110152531623013</c:v>
                </c:pt>
                <c:pt idx="4">
                  <c:v>0.112213044820046</c:v>
                </c:pt>
                <c:pt idx="5">
                  <c:v>0.113192041320093</c:v>
                </c:pt>
                <c:pt idx="6">
                  <c:v>0.12198952354461801</c:v>
                </c:pt>
                <c:pt idx="7">
                  <c:v>0.135901592634632</c:v>
                </c:pt>
                <c:pt idx="8">
                  <c:v>0.13998009219669</c:v>
                </c:pt>
                <c:pt idx="9">
                  <c:v>0.151000490818014</c:v>
                </c:pt>
                <c:pt idx="10">
                  <c:v>0.16225494462548801</c:v>
                </c:pt>
                <c:pt idx="11">
                  <c:v>0.167390390353271</c:v>
                </c:pt>
                <c:pt idx="12">
                  <c:v>0.184967943714206</c:v>
                </c:pt>
                <c:pt idx="13">
                  <c:v>0.22092724012335899</c:v>
                </c:pt>
                <c:pt idx="14">
                  <c:v>0.22782987083703801</c:v>
                </c:pt>
                <c:pt idx="15">
                  <c:v>0.28928345918466097</c:v>
                </c:pt>
                <c:pt idx="16">
                  <c:v>0.31415126332422899</c:v>
                </c:pt>
                <c:pt idx="17">
                  <c:v>0.38276595787076201</c:v>
                </c:pt>
                <c:pt idx="18">
                  <c:v>0.39745230724291197</c:v>
                </c:pt>
                <c:pt idx="19">
                  <c:v>0.40756441176019198</c:v>
                </c:pt>
                <c:pt idx="20">
                  <c:v>0.41271744996127402</c:v>
                </c:pt>
                <c:pt idx="21">
                  <c:v>0.42332581664166902</c:v>
                </c:pt>
                <c:pt idx="22">
                  <c:v>0.48911614585201002</c:v>
                </c:pt>
                <c:pt idx="23">
                  <c:v>0.49572502172543398</c:v>
                </c:pt>
                <c:pt idx="24">
                  <c:v>0.53754285666479296</c:v>
                </c:pt>
                <c:pt idx="25">
                  <c:v>0.89185347653415803</c:v>
                </c:pt>
                <c:pt idx="26">
                  <c:v>1.1715829894552701</c:v>
                </c:pt>
                <c:pt idx="27">
                  <c:v>1.27200130474262</c:v>
                </c:pt>
                <c:pt idx="28">
                  <c:v>1.5794185569336401</c:v>
                </c:pt>
                <c:pt idx="29">
                  <c:v>2.02077878138837</c:v>
                </c:pt>
                <c:pt idx="30">
                  <c:v>2.0619742951580502</c:v>
                </c:pt>
                <c:pt idx="31">
                  <c:v>2.2454719014106002</c:v>
                </c:pt>
                <c:pt idx="32">
                  <c:v>2.5640431907531198</c:v>
                </c:pt>
                <c:pt idx="33">
                  <c:v>2.65992102551006</c:v>
                </c:pt>
                <c:pt idx="34">
                  <c:v>2.94257938340981</c:v>
                </c:pt>
                <c:pt idx="35">
                  <c:v>2.95404671484722</c:v>
                </c:pt>
                <c:pt idx="36">
                  <c:v>2.9654607541821898</c:v>
                </c:pt>
                <c:pt idx="37">
                  <c:v>3.0552395990705898</c:v>
                </c:pt>
                <c:pt idx="38">
                  <c:v>3.0662608285045301</c:v>
                </c:pt>
                <c:pt idx="39">
                  <c:v>3.1846590971773998</c:v>
                </c:pt>
                <c:pt idx="40">
                  <c:v>3.1951654102157399</c:v>
                </c:pt>
                <c:pt idx="41">
                  <c:v>3.2368189500595399</c:v>
                </c:pt>
                <c:pt idx="42">
                  <c:v>3.2368189500595399</c:v>
                </c:pt>
                <c:pt idx="43">
                  <c:v>3.2893358200498701</c:v>
                </c:pt>
                <c:pt idx="44">
                  <c:v>3.3969414709304102</c:v>
                </c:pt>
                <c:pt idx="45">
                  <c:v>3.5079551626468701</c:v>
                </c:pt>
                <c:pt idx="46">
                  <c:v>3.5876997699748401</c:v>
                </c:pt>
                <c:pt idx="47">
                  <c:v>3.5876997699748401</c:v>
                </c:pt>
                <c:pt idx="48">
                  <c:v>3.6453935666239099</c:v>
                </c:pt>
                <c:pt idx="49">
                  <c:v>3.8196649857018001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35-49F1-8F0A-BE41B62B7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199840"/>
        <c:axId val="892204416"/>
      </c:scatterChart>
      <c:valAx>
        <c:axId val="8921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2204416"/>
        <c:crosses val="autoZero"/>
        <c:crossBetween val="midCat"/>
      </c:valAx>
      <c:valAx>
        <c:axId val="8922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219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损失查看_tmp!$N$1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损失查看_tmp!$M$2:$M$58</c:f>
              <c:numCache>
                <c:formatCode>General</c:formatCode>
                <c:ptCount val="57"/>
                <c:pt idx="0">
                  <c:v>5.13537</c:v>
                </c:pt>
                <c:pt idx="1">
                  <c:v>5.3799099999999997</c:v>
                </c:pt>
                <c:pt idx="2">
                  <c:v>5.56332</c:v>
                </c:pt>
                <c:pt idx="3">
                  <c:v>6.2969400000000002</c:v>
                </c:pt>
                <c:pt idx="4">
                  <c:v>6.6637599999999999</c:v>
                </c:pt>
                <c:pt idx="5">
                  <c:v>8.4978200000000008</c:v>
                </c:pt>
                <c:pt idx="6">
                  <c:v>8.5589499999999994</c:v>
                </c:pt>
                <c:pt idx="7">
                  <c:v>9.0480300000000007</c:v>
                </c:pt>
                <c:pt idx="8">
                  <c:v>11.799099999999999</c:v>
                </c:pt>
                <c:pt idx="9">
                  <c:v>14.3057</c:v>
                </c:pt>
                <c:pt idx="10">
                  <c:v>14.7948</c:v>
                </c:pt>
                <c:pt idx="11">
                  <c:v>16.262</c:v>
                </c:pt>
                <c:pt idx="12">
                  <c:v>17.4847</c:v>
                </c:pt>
                <c:pt idx="13">
                  <c:v>17.973800000000001</c:v>
                </c:pt>
                <c:pt idx="14">
                  <c:v>19.379899999999999</c:v>
                </c:pt>
                <c:pt idx="15">
                  <c:v>19.379899999999999</c:v>
                </c:pt>
                <c:pt idx="16">
                  <c:v>21.5808</c:v>
                </c:pt>
                <c:pt idx="17">
                  <c:v>21.947600000000001</c:v>
                </c:pt>
                <c:pt idx="18">
                  <c:v>24.698699999999999</c:v>
                </c:pt>
                <c:pt idx="19">
                  <c:v>25.371200000000002</c:v>
                </c:pt>
                <c:pt idx="20">
                  <c:v>25.371200000000002</c:v>
                </c:pt>
                <c:pt idx="21">
                  <c:v>27.144100000000002</c:v>
                </c:pt>
                <c:pt idx="22">
                  <c:v>27.205200000000001</c:v>
                </c:pt>
                <c:pt idx="23">
                  <c:v>27.694299999999998</c:v>
                </c:pt>
                <c:pt idx="24">
                  <c:v>27.816600000000001</c:v>
                </c:pt>
                <c:pt idx="25">
                  <c:v>27.877700000000001</c:v>
                </c:pt>
                <c:pt idx="26">
                  <c:v>27.877700000000001</c:v>
                </c:pt>
                <c:pt idx="27">
                  <c:v>27.9389</c:v>
                </c:pt>
                <c:pt idx="28">
                  <c:v>28.0611</c:v>
                </c:pt>
                <c:pt idx="29">
                  <c:v>28.305700000000002</c:v>
                </c:pt>
                <c:pt idx="30">
                  <c:v>29.650700000000001</c:v>
                </c:pt>
                <c:pt idx="31">
                  <c:v>29.7729</c:v>
                </c:pt>
                <c:pt idx="32">
                  <c:v>29.895199999999999</c:v>
                </c:pt>
                <c:pt idx="33">
                  <c:v>30.3843</c:v>
                </c:pt>
                <c:pt idx="34">
                  <c:v>34.847200000000001</c:v>
                </c:pt>
                <c:pt idx="35">
                  <c:v>37.170299999999997</c:v>
                </c:pt>
                <c:pt idx="36">
                  <c:v>37.842799999999997</c:v>
                </c:pt>
                <c:pt idx="37">
                  <c:v>39.921399999999998</c:v>
                </c:pt>
                <c:pt idx="38">
                  <c:v>42.244500000000002</c:v>
                </c:pt>
                <c:pt idx="39">
                  <c:v>42.550199999999997</c:v>
                </c:pt>
                <c:pt idx="40">
                  <c:v>43.711799999999997</c:v>
                </c:pt>
                <c:pt idx="41">
                  <c:v>45.606999999999999</c:v>
                </c:pt>
                <c:pt idx="42">
                  <c:v>46.401699999999998</c:v>
                </c:pt>
                <c:pt idx="43">
                  <c:v>48.9694</c:v>
                </c:pt>
                <c:pt idx="44">
                  <c:v>49.152799999999999</c:v>
                </c:pt>
                <c:pt idx="45">
                  <c:v>49.213999999999999</c:v>
                </c:pt>
                <c:pt idx="46">
                  <c:v>50.192100000000003</c:v>
                </c:pt>
                <c:pt idx="47">
                  <c:v>50.192100000000003</c:v>
                </c:pt>
                <c:pt idx="48">
                  <c:v>51.537100000000002</c:v>
                </c:pt>
                <c:pt idx="49">
                  <c:v>51.598300000000002</c:v>
                </c:pt>
                <c:pt idx="50">
                  <c:v>52.209600000000002</c:v>
                </c:pt>
                <c:pt idx="51">
                  <c:v>52.270699999999998</c:v>
                </c:pt>
                <c:pt idx="52">
                  <c:v>52.759799999999998</c:v>
                </c:pt>
                <c:pt idx="53">
                  <c:v>53.982500000000002</c:v>
                </c:pt>
                <c:pt idx="54">
                  <c:v>55.082999999999998</c:v>
                </c:pt>
                <c:pt idx="55">
                  <c:v>56.061100000000003</c:v>
                </c:pt>
                <c:pt idx="56">
                  <c:v>56.061100000000003</c:v>
                </c:pt>
              </c:numCache>
            </c:numRef>
          </c:xVal>
          <c:yVal>
            <c:numRef>
              <c:f>损失查看_tmp!$N$2:$N$58</c:f>
              <c:numCache>
                <c:formatCode>General</c:formatCode>
                <c:ptCount val="57"/>
                <c:pt idx="0">
                  <c:v>8.8543399999999994E-2</c:v>
                </c:pt>
                <c:pt idx="1">
                  <c:v>0.100189</c:v>
                </c:pt>
                <c:pt idx="2">
                  <c:v>0.117267</c:v>
                </c:pt>
                <c:pt idx="3">
                  <c:v>8.31229E-2</c:v>
                </c:pt>
                <c:pt idx="4">
                  <c:v>9.9427100000000004E-2</c:v>
                </c:pt>
                <c:pt idx="5">
                  <c:v>7.8490099999999993E-2</c:v>
                </c:pt>
                <c:pt idx="6">
                  <c:v>9.8671900000000007E-2</c:v>
                </c:pt>
                <c:pt idx="7">
                  <c:v>8.78105E-2</c:v>
                </c:pt>
                <c:pt idx="8">
                  <c:v>9.0945799999999993E-2</c:v>
                </c:pt>
                <c:pt idx="9">
                  <c:v>8.32117E-2</c:v>
                </c:pt>
                <c:pt idx="10">
                  <c:v>0.140656</c:v>
                </c:pt>
                <c:pt idx="11">
                  <c:v>0.201215</c:v>
                </c:pt>
                <c:pt idx="12">
                  <c:v>0.17794299999999999</c:v>
                </c:pt>
                <c:pt idx="13">
                  <c:v>0.152334</c:v>
                </c:pt>
                <c:pt idx="14">
                  <c:v>0.14924499999999999</c:v>
                </c:pt>
                <c:pt idx="15">
                  <c:v>0.212117</c:v>
                </c:pt>
                <c:pt idx="16">
                  <c:v>0.37436599999999998</c:v>
                </c:pt>
                <c:pt idx="17">
                  <c:v>0.284331</c:v>
                </c:pt>
                <c:pt idx="18">
                  <c:v>0.27815200000000001</c:v>
                </c:pt>
                <c:pt idx="19">
                  <c:v>0.248664</c:v>
                </c:pt>
                <c:pt idx="20">
                  <c:v>0.31386500000000001</c:v>
                </c:pt>
                <c:pt idx="21">
                  <c:v>0.20444100000000001</c:v>
                </c:pt>
                <c:pt idx="22">
                  <c:v>0.41711900000000002</c:v>
                </c:pt>
                <c:pt idx="23">
                  <c:v>0.37520999999999999</c:v>
                </c:pt>
                <c:pt idx="24">
                  <c:v>0.31078699999999998</c:v>
                </c:pt>
                <c:pt idx="25">
                  <c:v>0.249468</c:v>
                </c:pt>
                <c:pt idx="26">
                  <c:v>0.27818799999999999</c:v>
                </c:pt>
                <c:pt idx="27">
                  <c:v>0.23083999999999999</c:v>
                </c:pt>
                <c:pt idx="28">
                  <c:v>0.20057</c:v>
                </c:pt>
                <c:pt idx="29">
                  <c:v>0.20988699999999999</c:v>
                </c:pt>
                <c:pt idx="30">
                  <c:v>0.37911299999999998</c:v>
                </c:pt>
                <c:pt idx="31">
                  <c:v>0.37445699999999998</c:v>
                </c:pt>
                <c:pt idx="32">
                  <c:v>0.33875300000000003</c:v>
                </c:pt>
                <c:pt idx="33">
                  <c:v>0.39154</c:v>
                </c:pt>
                <c:pt idx="34">
                  <c:v>0.386932</c:v>
                </c:pt>
                <c:pt idx="35">
                  <c:v>0.39239099999999999</c:v>
                </c:pt>
                <c:pt idx="36">
                  <c:v>0.37997999999999998</c:v>
                </c:pt>
                <c:pt idx="37">
                  <c:v>0.19914899999999999</c:v>
                </c:pt>
                <c:pt idx="38">
                  <c:v>0.139408</c:v>
                </c:pt>
                <c:pt idx="39">
                  <c:v>0.32104100000000002</c:v>
                </c:pt>
                <c:pt idx="40">
                  <c:v>0.22480600000000001</c:v>
                </c:pt>
                <c:pt idx="41">
                  <c:v>0.179031</c:v>
                </c:pt>
                <c:pt idx="42">
                  <c:v>0.14022999999999999</c:v>
                </c:pt>
                <c:pt idx="43">
                  <c:v>0.38010300000000002</c:v>
                </c:pt>
                <c:pt idx="44">
                  <c:v>0.12706500000000001</c:v>
                </c:pt>
                <c:pt idx="45">
                  <c:v>0.14647099999999999</c:v>
                </c:pt>
                <c:pt idx="46">
                  <c:v>0.13018099999999999</c:v>
                </c:pt>
                <c:pt idx="47">
                  <c:v>0.18296299999999999</c:v>
                </c:pt>
                <c:pt idx="48">
                  <c:v>3.9381300000000001E-2</c:v>
                </c:pt>
                <c:pt idx="49">
                  <c:v>0.16978299999999999</c:v>
                </c:pt>
                <c:pt idx="50">
                  <c:v>0.237319</c:v>
                </c:pt>
                <c:pt idx="51">
                  <c:v>0.165909</c:v>
                </c:pt>
                <c:pt idx="52">
                  <c:v>0.15504799999999999</c:v>
                </c:pt>
                <c:pt idx="53">
                  <c:v>0.19542399999999999</c:v>
                </c:pt>
                <c:pt idx="54">
                  <c:v>0.150417</c:v>
                </c:pt>
                <c:pt idx="55">
                  <c:v>0.15198</c:v>
                </c:pt>
                <c:pt idx="56">
                  <c:v>0.104632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BE-499A-AFB0-C9BEE6486659}"/>
            </c:ext>
          </c:extLst>
        </c:ser>
        <c:ser>
          <c:idx val="1"/>
          <c:order val="1"/>
          <c:tx>
            <c:strRef>
              <c:f>损失查看_tmp!$O$1</c:f>
              <c:strCache>
                <c:ptCount val="1"/>
                <c:pt idx="0">
                  <c:v>K1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损失查看_tmp!$M$2:$M$58</c:f>
              <c:numCache>
                <c:formatCode>General</c:formatCode>
                <c:ptCount val="57"/>
                <c:pt idx="0">
                  <c:v>5.13537</c:v>
                </c:pt>
                <c:pt idx="1">
                  <c:v>5.3799099999999997</c:v>
                </c:pt>
                <c:pt idx="2">
                  <c:v>5.56332</c:v>
                </c:pt>
                <c:pt idx="3">
                  <c:v>6.2969400000000002</c:v>
                </c:pt>
                <c:pt idx="4">
                  <c:v>6.6637599999999999</c:v>
                </c:pt>
                <c:pt idx="5">
                  <c:v>8.4978200000000008</c:v>
                </c:pt>
                <c:pt idx="6">
                  <c:v>8.5589499999999994</c:v>
                </c:pt>
                <c:pt idx="7">
                  <c:v>9.0480300000000007</c:v>
                </c:pt>
                <c:pt idx="8">
                  <c:v>11.799099999999999</c:v>
                </c:pt>
                <c:pt idx="9">
                  <c:v>14.3057</c:v>
                </c:pt>
                <c:pt idx="10">
                  <c:v>14.7948</c:v>
                </c:pt>
                <c:pt idx="11">
                  <c:v>16.262</c:v>
                </c:pt>
                <c:pt idx="12">
                  <c:v>17.4847</c:v>
                </c:pt>
                <c:pt idx="13">
                  <c:v>17.973800000000001</c:v>
                </c:pt>
                <c:pt idx="14">
                  <c:v>19.379899999999999</c:v>
                </c:pt>
                <c:pt idx="15">
                  <c:v>19.379899999999999</c:v>
                </c:pt>
                <c:pt idx="16">
                  <c:v>21.5808</c:v>
                </c:pt>
                <c:pt idx="17">
                  <c:v>21.947600000000001</c:v>
                </c:pt>
                <c:pt idx="18">
                  <c:v>24.698699999999999</c:v>
                </c:pt>
                <c:pt idx="19">
                  <c:v>25.371200000000002</c:v>
                </c:pt>
                <c:pt idx="20">
                  <c:v>25.371200000000002</c:v>
                </c:pt>
                <c:pt idx="21">
                  <c:v>27.144100000000002</c:v>
                </c:pt>
                <c:pt idx="22">
                  <c:v>27.205200000000001</c:v>
                </c:pt>
                <c:pt idx="23">
                  <c:v>27.694299999999998</c:v>
                </c:pt>
                <c:pt idx="24">
                  <c:v>27.816600000000001</c:v>
                </c:pt>
                <c:pt idx="25">
                  <c:v>27.877700000000001</c:v>
                </c:pt>
                <c:pt idx="26">
                  <c:v>27.877700000000001</c:v>
                </c:pt>
                <c:pt idx="27">
                  <c:v>27.9389</c:v>
                </c:pt>
                <c:pt idx="28">
                  <c:v>28.0611</c:v>
                </c:pt>
                <c:pt idx="29">
                  <c:v>28.305700000000002</c:v>
                </c:pt>
                <c:pt idx="30">
                  <c:v>29.650700000000001</c:v>
                </c:pt>
                <c:pt idx="31">
                  <c:v>29.7729</c:v>
                </c:pt>
                <c:pt idx="32">
                  <c:v>29.895199999999999</c:v>
                </c:pt>
                <c:pt idx="33">
                  <c:v>30.3843</c:v>
                </c:pt>
                <c:pt idx="34">
                  <c:v>34.847200000000001</c:v>
                </c:pt>
                <c:pt idx="35">
                  <c:v>37.170299999999997</c:v>
                </c:pt>
                <c:pt idx="36">
                  <c:v>37.842799999999997</c:v>
                </c:pt>
                <c:pt idx="37">
                  <c:v>39.921399999999998</c:v>
                </c:pt>
                <c:pt idx="38">
                  <c:v>42.244500000000002</c:v>
                </c:pt>
                <c:pt idx="39">
                  <c:v>42.550199999999997</c:v>
                </c:pt>
                <c:pt idx="40">
                  <c:v>43.711799999999997</c:v>
                </c:pt>
                <c:pt idx="41">
                  <c:v>45.606999999999999</c:v>
                </c:pt>
                <c:pt idx="42">
                  <c:v>46.401699999999998</c:v>
                </c:pt>
                <c:pt idx="43">
                  <c:v>48.9694</c:v>
                </c:pt>
                <c:pt idx="44">
                  <c:v>49.152799999999999</c:v>
                </c:pt>
                <c:pt idx="45">
                  <c:v>49.213999999999999</c:v>
                </c:pt>
                <c:pt idx="46">
                  <c:v>50.192100000000003</c:v>
                </c:pt>
                <c:pt idx="47">
                  <c:v>50.192100000000003</c:v>
                </c:pt>
                <c:pt idx="48">
                  <c:v>51.537100000000002</c:v>
                </c:pt>
                <c:pt idx="49">
                  <c:v>51.598300000000002</c:v>
                </c:pt>
                <c:pt idx="50">
                  <c:v>52.209600000000002</c:v>
                </c:pt>
                <c:pt idx="51">
                  <c:v>52.270699999999998</c:v>
                </c:pt>
                <c:pt idx="52">
                  <c:v>52.759799999999998</c:v>
                </c:pt>
                <c:pt idx="53">
                  <c:v>53.982500000000002</c:v>
                </c:pt>
                <c:pt idx="54">
                  <c:v>55.082999999999998</c:v>
                </c:pt>
                <c:pt idx="55">
                  <c:v>56.061100000000003</c:v>
                </c:pt>
                <c:pt idx="56">
                  <c:v>56.061100000000003</c:v>
                </c:pt>
              </c:numCache>
            </c:numRef>
          </c:xVal>
          <c:yVal>
            <c:numRef>
              <c:f>损失查看_tmp!$O$2:$O$58</c:f>
              <c:numCache>
                <c:formatCode>0.00E+00</c:formatCode>
                <c:ptCount val="57"/>
                <c:pt idx="0">
                  <c:v>0.105609206297039</c:v>
                </c:pt>
                <c:pt idx="1">
                  <c:v>0.106560145751986</c:v>
                </c:pt>
                <c:pt idx="2">
                  <c:v>0.107248265475049</c:v>
                </c:pt>
                <c:pt idx="3">
                  <c:v>0.10978549672440301</c:v>
                </c:pt>
                <c:pt idx="4">
                  <c:v>0.110925039381243</c:v>
                </c:pt>
                <c:pt idx="5">
                  <c:v>0.11560184484805899</c:v>
                </c:pt>
                <c:pt idx="6">
                  <c:v>0.115782111915714</c:v>
                </c:pt>
                <c:pt idx="7">
                  <c:v>0.11743176044267301</c:v>
                </c:pt>
                <c:pt idx="8">
                  <c:v>0.13358098310168701</c:v>
                </c:pt>
                <c:pt idx="9">
                  <c:v>0.15605934555023601</c:v>
                </c:pt>
                <c:pt idx="10">
                  <c:v>0.16091873882756599</c:v>
                </c:pt>
                <c:pt idx="11">
                  <c:v>0.176422010178511</c:v>
                </c:pt>
                <c:pt idx="12">
                  <c:v>0.19057291377303401</c:v>
                </c:pt>
                <c:pt idx="13">
                  <c:v>0.196573106803478</c:v>
                </c:pt>
                <c:pt idx="14">
                  <c:v>0.214903802227181</c:v>
                </c:pt>
                <c:pt idx="15">
                  <c:v>0.214903802227181</c:v>
                </c:pt>
                <c:pt idx="16">
                  <c:v>0.24647880463528901</c:v>
                </c:pt>
                <c:pt idx="17">
                  <c:v>0.25200464803411898</c:v>
                </c:pt>
                <c:pt idx="18">
                  <c:v>0.29563734219625998</c:v>
                </c:pt>
                <c:pt idx="19">
                  <c:v>0.30657599636455901</c:v>
                </c:pt>
                <c:pt idx="20">
                  <c:v>0.30657599636455901</c:v>
                </c:pt>
                <c:pt idx="21">
                  <c:v>0.33539302633628099</c:v>
                </c:pt>
                <c:pt idx="22">
                  <c:v>0.336385630479483</c:v>
                </c:pt>
                <c:pt idx="23">
                  <c:v>0.34433007398441801</c:v>
                </c:pt>
                <c:pt idx="24">
                  <c:v>0.34631623990556798</c:v>
                </c:pt>
                <c:pt idx="25">
                  <c:v>0.34730845825479001</c:v>
                </c:pt>
                <c:pt idx="26">
                  <c:v>0.34730845825479001</c:v>
                </c:pt>
                <c:pt idx="27">
                  <c:v>0.34830226539187997</c:v>
                </c:pt>
                <c:pt idx="28">
                  <c:v>0.35028461226269902</c:v>
                </c:pt>
                <c:pt idx="29">
                  <c:v>0.35420995165290098</c:v>
                </c:pt>
                <c:pt idx="30">
                  <c:v>0.37468805647370301</c:v>
                </c:pt>
                <c:pt idx="31">
                  <c:v>0.376455809342092</c:v>
                </c:pt>
                <c:pt idx="32">
                  <c:v>0.37820953398395901</c:v>
                </c:pt>
                <c:pt idx="33">
                  <c:v>0.38506824393599498</c:v>
                </c:pt>
                <c:pt idx="34">
                  <c:v>0.42995078906239798</c:v>
                </c:pt>
                <c:pt idx="35">
                  <c:v>0.43224217968996598</c:v>
                </c:pt>
                <c:pt idx="36">
                  <c:v>0.42818608473514502</c:v>
                </c:pt>
                <c:pt idx="37">
                  <c:v>0.40083226344141898</c:v>
                </c:pt>
                <c:pt idx="38">
                  <c:v>0.34894376669256999</c:v>
                </c:pt>
                <c:pt idx="39">
                  <c:v>0.34085863344517098</c:v>
                </c:pt>
                <c:pt idx="40">
                  <c:v>0.30747238844383601</c:v>
                </c:pt>
                <c:pt idx="41">
                  <c:v>0.25339305720340899</c:v>
                </c:pt>
                <c:pt idx="42">
                  <c:v>0.23506786925296799</c:v>
                </c:pt>
                <c:pt idx="43">
                  <c:v>0.193334047064737</c:v>
                </c:pt>
                <c:pt idx="44">
                  <c:v>0.19119985665285399</c:v>
                </c:pt>
                <c:pt idx="45">
                  <c:v>0.19050926669787999</c:v>
                </c:pt>
                <c:pt idx="46">
                  <c:v>0.18093785801630299</c:v>
                </c:pt>
                <c:pt idx="47">
                  <c:v>0.18093785801630299</c:v>
                </c:pt>
                <c:pt idx="48">
                  <c:v>0.17228098728162999</c:v>
                </c:pt>
                <c:pt idx="49">
                  <c:v>0.17201116167096001</c:v>
                </c:pt>
                <c:pt idx="50">
                  <c:v>0.16986970724554601</c:v>
                </c:pt>
                <c:pt idx="51">
                  <c:v>0.16969274882258301</c:v>
                </c:pt>
                <c:pt idx="52">
                  <c:v>0.16842533083046399</c:v>
                </c:pt>
                <c:pt idx="53">
                  <c:v>0.16641672180584</c:v>
                </c:pt>
                <c:pt idx="54">
                  <c:v>0.166025595599927</c:v>
                </c:pt>
                <c:pt idx="55">
                  <c:v>0.16680317964760999</c:v>
                </c:pt>
                <c:pt idx="56">
                  <c:v>0.16680317964760999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BE-499A-AFB0-C9BEE6486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823616"/>
        <c:axId val="819822784"/>
      </c:scatterChart>
      <c:valAx>
        <c:axId val="81982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822784"/>
        <c:crosses val="autoZero"/>
        <c:crossBetween val="midCat"/>
      </c:valAx>
      <c:valAx>
        <c:axId val="819822784"/>
        <c:scaling>
          <c:orientation val="minMax"/>
          <c:max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82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Mg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损失查看_tmp!$R$1</c:f>
              <c:strCache>
                <c:ptCount val="1"/>
                <c:pt idx="0">
                  <c:v>Mg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损失查看_tmp!$Q$2:$Q$59</c:f>
              <c:numCache>
                <c:formatCode>General</c:formatCode>
                <c:ptCount val="58"/>
                <c:pt idx="0">
                  <c:v>5.11036</c:v>
                </c:pt>
                <c:pt idx="1">
                  <c:v>5.3480499999999997</c:v>
                </c:pt>
                <c:pt idx="2">
                  <c:v>5.5857400000000004</c:v>
                </c:pt>
                <c:pt idx="3">
                  <c:v>6.2988099999999996</c:v>
                </c:pt>
                <c:pt idx="4">
                  <c:v>6.6553500000000003</c:v>
                </c:pt>
                <c:pt idx="5">
                  <c:v>8.5568799999999996</c:v>
                </c:pt>
                <c:pt idx="6">
                  <c:v>8.5568799999999996</c:v>
                </c:pt>
                <c:pt idx="7">
                  <c:v>9.0322600000000008</c:v>
                </c:pt>
                <c:pt idx="8">
                  <c:v>11.765700000000001</c:v>
                </c:pt>
                <c:pt idx="9">
                  <c:v>14.2615</c:v>
                </c:pt>
                <c:pt idx="10">
                  <c:v>14.855700000000001</c:v>
                </c:pt>
                <c:pt idx="11">
                  <c:v>16.2818</c:v>
                </c:pt>
                <c:pt idx="12">
                  <c:v>17.470300000000002</c:v>
                </c:pt>
                <c:pt idx="13">
                  <c:v>17.945699999999999</c:v>
                </c:pt>
                <c:pt idx="14">
                  <c:v>19.3718</c:v>
                </c:pt>
                <c:pt idx="15">
                  <c:v>19.3718</c:v>
                </c:pt>
                <c:pt idx="16">
                  <c:v>21.629899999999999</c:v>
                </c:pt>
                <c:pt idx="17">
                  <c:v>21.9864</c:v>
                </c:pt>
                <c:pt idx="18">
                  <c:v>24.719899999999999</c:v>
                </c:pt>
                <c:pt idx="19">
                  <c:v>25.4329</c:v>
                </c:pt>
                <c:pt idx="20">
                  <c:v>25.4329</c:v>
                </c:pt>
                <c:pt idx="21">
                  <c:v>27.096800000000002</c:v>
                </c:pt>
                <c:pt idx="22">
                  <c:v>27.215599999999998</c:v>
                </c:pt>
                <c:pt idx="23">
                  <c:v>27.690999999999999</c:v>
                </c:pt>
                <c:pt idx="24">
                  <c:v>27.690999999999999</c:v>
                </c:pt>
                <c:pt idx="25">
                  <c:v>27.928699999999999</c:v>
                </c:pt>
                <c:pt idx="26">
                  <c:v>27.928699999999999</c:v>
                </c:pt>
                <c:pt idx="27">
                  <c:v>28.047499999999999</c:v>
                </c:pt>
                <c:pt idx="28">
                  <c:v>28.047499999999999</c:v>
                </c:pt>
                <c:pt idx="29">
                  <c:v>28.2852</c:v>
                </c:pt>
                <c:pt idx="30">
                  <c:v>29.711400000000001</c:v>
                </c:pt>
                <c:pt idx="31">
                  <c:v>29.830200000000001</c:v>
                </c:pt>
                <c:pt idx="32">
                  <c:v>29.949100000000001</c:v>
                </c:pt>
                <c:pt idx="33">
                  <c:v>30.543299999999999</c:v>
                </c:pt>
                <c:pt idx="34">
                  <c:v>34.8217</c:v>
                </c:pt>
                <c:pt idx="35">
                  <c:v>37.198599999999999</c:v>
                </c:pt>
                <c:pt idx="36">
                  <c:v>37.911700000000003</c:v>
                </c:pt>
                <c:pt idx="37">
                  <c:v>39.932099999999998</c:v>
                </c:pt>
                <c:pt idx="38">
                  <c:v>42.308999999999997</c:v>
                </c:pt>
                <c:pt idx="39">
                  <c:v>42.546700000000001</c:v>
                </c:pt>
                <c:pt idx="40">
                  <c:v>43.735100000000003</c:v>
                </c:pt>
                <c:pt idx="41">
                  <c:v>45.636699999999998</c:v>
                </c:pt>
                <c:pt idx="42">
                  <c:v>46.468600000000002</c:v>
                </c:pt>
                <c:pt idx="43">
                  <c:v>48.964300000000001</c:v>
                </c:pt>
                <c:pt idx="44">
                  <c:v>49.201999999999998</c:v>
                </c:pt>
                <c:pt idx="45">
                  <c:v>49.201999999999998</c:v>
                </c:pt>
                <c:pt idx="46">
                  <c:v>50.271599999999999</c:v>
                </c:pt>
                <c:pt idx="47">
                  <c:v>50.271599999999999</c:v>
                </c:pt>
                <c:pt idx="48">
                  <c:v>51.578899999999997</c:v>
                </c:pt>
                <c:pt idx="49">
                  <c:v>51.697800000000001</c:v>
                </c:pt>
                <c:pt idx="50">
                  <c:v>52.173200000000001</c:v>
                </c:pt>
                <c:pt idx="51">
                  <c:v>52.767400000000002</c:v>
                </c:pt>
                <c:pt idx="52">
                  <c:v>53.9559</c:v>
                </c:pt>
                <c:pt idx="53">
                  <c:v>55.144300000000001</c:v>
                </c:pt>
                <c:pt idx="54">
                  <c:v>55.976199999999999</c:v>
                </c:pt>
                <c:pt idx="55">
                  <c:v>56.095100000000002</c:v>
                </c:pt>
                <c:pt idx="56">
                  <c:v>56.570500000000003</c:v>
                </c:pt>
                <c:pt idx="57">
                  <c:v>58.353099999999998</c:v>
                </c:pt>
              </c:numCache>
            </c:numRef>
          </c:xVal>
          <c:yVal>
            <c:numRef>
              <c:f>损失查看_tmp!$R$2:$R$59</c:f>
              <c:numCache>
                <c:formatCode>General</c:formatCode>
                <c:ptCount val="58"/>
                <c:pt idx="0">
                  <c:v>4.7984800000000001E-2</c:v>
                </c:pt>
                <c:pt idx="1">
                  <c:v>0.14799200000000001</c:v>
                </c:pt>
                <c:pt idx="2">
                  <c:v>0.202347</c:v>
                </c:pt>
                <c:pt idx="3">
                  <c:v>0.18932599999999999</c:v>
                </c:pt>
                <c:pt idx="4">
                  <c:v>0.13933699999999999</c:v>
                </c:pt>
                <c:pt idx="5">
                  <c:v>0.19591800000000001</c:v>
                </c:pt>
                <c:pt idx="6">
                  <c:v>0.28504800000000002</c:v>
                </c:pt>
                <c:pt idx="7">
                  <c:v>0.36115000000000003</c:v>
                </c:pt>
                <c:pt idx="8">
                  <c:v>0.104713</c:v>
                </c:pt>
                <c:pt idx="9">
                  <c:v>0.15044299999999999</c:v>
                </c:pt>
                <c:pt idx="10">
                  <c:v>0.39394000000000001</c:v>
                </c:pt>
                <c:pt idx="11">
                  <c:v>0.60267999999999999</c:v>
                </c:pt>
                <c:pt idx="12">
                  <c:v>0.52228200000000002</c:v>
                </c:pt>
                <c:pt idx="13">
                  <c:v>0.50490500000000005</c:v>
                </c:pt>
                <c:pt idx="14">
                  <c:v>0.376689</c:v>
                </c:pt>
                <c:pt idx="15">
                  <c:v>0.56581899999999996</c:v>
                </c:pt>
                <c:pt idx="16">
                  <c:v>0.37023699999999998</c:v>
                </c:pt>
                <c:pt idx="17">
                  <c:v>0.33546500000000001</c:v>
                </c:pt>
                <c:pt idx="18">
                  <c:v>0.52902899999999997</c:v>
                </c:pt>
                <c:pt idx="19">
                  <c:v>0.57252899999999995</c:v>
                </c:pt>
                <c:pt idx="20">
                  <c:v>0.518181</c:v>
                </c:pt>
                <c:pt idx="21">
                  <c:v>0.49649399999999999</c:v>
                </c:pt>
                <c:pt idx="22">
                  <c:v>0.44432300000000002</c:v>
                </c:pt>
                <c:pt idx="23">
                  <c:v>0.49651200000000001</c:v>
                </c:pt>
                <c:pt idx="24">
                  <c:v>0.48129499999999997</c:v>
                </c:pt>
                <c:pt idx="25">
                  <c:v>0.56608499999999995</c:v>
                </c:pt>
                <c:pt idx="26">
                  <c:v>0.51608500000000002</c:v>
                </c:pt>
                <c:pt idx="27">
                  <c:v>0.49000100000000002</c:v>
                </c:pt>
                <c:pt idx="28">
                  <c:v>0.44434899999999999</c:v>
                </c:pt>
                <c:pt idx="29">
                  <c:v>0.38566099999999998</c:v>
                </c:pt>
                <c:pt idx="30">
                  <c:v>0.49222700000000003</c:v>
                </c:pt>
                <c:pt idx="31">
                  <c:v>0.379187</c:v>
                </c:pt>
                <c:pt idx="32">
                  <c:v>0.57049499999999997</c:v>
                </c:pt>
                <c:pt idx="33">
                  <c:v>0.54877500000000001</c:v>
                </c:pt>
                <c:pt idx="34">
                  <c:v>0.49021199999999998</c:v>
                </c:pt>
                <c:pt idx="35">
                  <c:v>0.49463299999999999</c:v>
                </c:pt>
                <c:pt idx="36">
                  <c:v>0.49030800000000002</c:v>
                </c:pt>
                <c:pt idx="37">
                  <c:v>0.240371</c:v>
                </c:pt>
                <c:pt idx="38">
                  <c:v>7.3053099999999996E-2</c:v>
                </c:pt>
                <c:pt idx="39">
                  <c:v>3.3930000000000002E-2</c:v>
                </c:pt>
                <c:pt idx="40">
                  <c:v>5.5706100000000001E-2</c:v>
                </c:pt>
                <c:pt idx="41">
                  <c:v>4.70695E-2</c:v>
                </c:pt>
                <c:pt idx="42">
                  <c:v>3.1877900000000001E-2</c:v>
                </c:pt>
                <c:pt idx="43">
                  <c:v>1.0216299999999999E-2</c:v>
                </c:pt>
                <c:pt idx="44">
                  <c:v>0.23631099999999999</c:v>
                </c:pt>
                <c:pt idx="45">
                  <c:v>3.6310599999999998E-2</c:v>
                </c:pt>
                <c:pt idx="46">
                  <c:v>1.2430800000000001E-2</c:v>
                </c:pt>
                <c:pt idx="47">
                  <c:v>2.5474299999999998E-2</c:v>
                </c:pt>
                <c:pt idx="48">
                  <c:v>3.7757400000000001E-3</c:v>
                </c:pt>
                <c:pt idx="49">
                  <c:v>4.0736000000000001E-2</c:v>
                </c:pt>
                <c:pt idx="50">
                  <c:v>5.1620300000000001E-2</c:v>
                </c:pt>
                <c:pt idx="51">
                  <c:v>2.33779E-2</c:v>
                </c:pt>
                <c:pt idx="52">
                  <c:v>4.2979999999999997E-2</c:v>
                </c:pt>
                <c:pt idx="53">
                  <c:v>3.2147299999999997E-2</c:v>
                </c:pt>
                <c:pt idx="54">
                  <c:v>3.2173199999999999E-2</c:v>
                </c:pt>
                <c:pt idx="55">
                  <c:v>4.0872499999999999E-2</c:v>
                </c:pt>
                <c:pt idx="56">
                  <c:v>5.3930800000000001E-2</c:v>
                </c:pt>
                <c:pt idx="57">
                  <c:v>7.5725299999999995E-2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87-475A-9B59-B8912ACBBF10}"/>
            </c:ext>
          </c:extLst>
        </c:ser>
        <c:ser>
          <c:idx val="1"/>
          <c:order val="1"/>
          <c:tx>
            <c:strRef>
              <c:f>损失查看_tmp!$S$1</c:f>
              <c:strCache>
                <c:ptCount val="1"/>
                <c:pt idx="0">
                  <c:v>Mg1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损失查看_tmp!$Q$2:$Q$59</c:f>
              <c:numCache>
                <c:formatCode>General</c:formatCode>
                <c:ptCount val="58"/>
                <c:pt idx="0">
                  <c:v>5.11036</c:v>
                </c:pt>
                <c:pt idx="1">
                  <c:v>5.3480499999999997</c:v>
                </c:pt>
                <c:pt idx="2">
                  <c:v>5.5857400000000004</c:v>
                </c:pt>
                <c:pt idx="3">
                  <c:v>6.2988099999999996</c:v>
                </c:pt>
                <c:pt idx="4">
                  <c:v>6.6553500000000003</c:v>
                </c:pt>
                <c:pt idx="5">
                  <c:v>8.5568799999999996</c:v>
                </c:pt>
                <c:pt idx="6">
                  <c:v>8.5568799999999996</c:v>
                </c:pt>
                <c:pt idx="7">
                  <c:v>9.0322600000000008</c:v>
                </c:pt>
                <c:pt idx="8">
                  <c:v>11.765700000000001</c:v>
                </c:pt>
                <c:pt idx="9">
                  <c:v>14.2615</c:v>
                </c:pt>
                <c:pt idx="10">
                  <c:v>14.855700000000001</c:v>
                </c:pt>
                <c:pt idx="11">
                  <c:v>16.2818</c:v>
                </c:pt>
                <c:pt idx="12">
                  <c:v>17.470300000000002</c:v>
                </c:pt>
                <c:pt idx="13">
                  <c:v>17.945699999999999</c:v>
                </c:pt>
                <c:pt idx="14">
                  <c:v>19.3718</c:v>
                </c:pt>
                <c:pt idx="15">
                  <c:v>19.3718</c:v>
                </c:pt>
                <c:pt idx="16">
                  <c:v>21.629899999999999</c:v>
                </c:pt>
                <c:pt idx="17">
                  <c:v>21.9864</c:v>
                </c:pt>
                <c:pt idx="18">
                  <c:v>24.719899999999999</c:v>
                </c:pt>
                <c:pt idx="19">
                  <c:v>25.4329</c:v>
                </c:pt>
                <c:pt idx="20">
                  <c:v>25.4329</c:v>
                </c:pt>
                <c:pt idx="21">
                  <c:v>27.096800000000002</c:v>
                </c:pt>
                <c:pt idx="22">
                  <c:v>27.215599999999998</c:v>
                </c:pt>
                <c:pt idx="23">
                  <c:v>27.690999999999999</c:v>
                </c:pt>
                <c:pt idx="24">
                  <c:v>27.690999999999999</c:v>
                </c:pt>
                <c:pt idx="25">
                  <c:v>27.928699999999999</c:v>
                </c:pt>
                <c:pt idx="26">
                  <c:v>27.928699999999999</c:v>
                </c:pt>
                <c:pt idx="27">
                  <c:v>28.047499999999999</c:v>
                </c:pt>
                <c:pt idx="28">
                  <c:v>28.047499999999999</c:v>
                </c:pt>
                <c:pt idx="29">
                  <c:v>28.2852</c:v>
                </c:pt>
                <c:pt idx="30">
                  <c:v>29.711400000000001</c:v>
                </c:pt>
                <c:pt idx="31">
                  <c:v>29.830200000000001</c:v>
                </c:pt>
                <c:pt idx="32">
                  <c:v>29.949100000000001</c:v>
                </c:pt>
                <c:pt idx="33">
                  <c:v>30.543299999999999</c:v>
                </c:pt>
                <c:pt idx="34">
                  <c:v>34.8217</c:v>
                </c:pt>
                <c:pt idx="35">
                  <c:v>37.198599999999999</c:v>
                </c:pt>
                <c:pt idx="36">
                  <c:v>37.911700000000003</c:v>
                </c:pt>
                <c:pt idx="37">
                  <c:v>39.932099999999998</c:v>
                </c:pt>
                <c:pt idx="38">
                  <c:v>42.308999999999997</c:v>
                </c:pt>
                <c:pt idx="39">
                  <c:v>42.546700000000001</c:v>
                </c:pt>
                <c:pt idx="40">
                  <c:v>43.735100000000003</c:v>
                </c:pt>
                <c:pt idx="41">
                  <c:v>45.636699999999998</c:v>
                </c:pt>
                <c:pt idx="42">
                  <c:v>46.468600000000002</c:v>
                </c:pt>
                <c:pt idx="43">
                  <c:v>48.964300000000001</c:v>
                </c:pt>
                <c:pt idx="44">
                  <c:v>49.201999999999998</c:v>
                </c:pt>
                <c:pt idx="45">
                  <c:v>49.201999999999998</c:v>
                </c:pt>
                <c:pt idx="46">
                  <c:v>50.271599999999999</c:v>
                </c:pt>
                <c:pt idx="47">
                  <c:v>50.271599999999999</c:v>
                </c:pt>
                <c:pt idx="48">
                  <c:v>51.578899999999997</c:v>
                </c:pt>
                <c:pt idx="49">
                  <c:v>51.697800000000001</c:v>
                </c:pt>
                <c:pt idx="50">
                  <c:v>52.173200000000001</c:v>
                </c:pt>
                <c:pt idx="51">
                  <c:v>52.767400000000002</c:v>
                </c:pt>
                <c:pt idx="52">
                  <c:v>53.9559</c:v>
                </c:pt>
                <c:pt idx="53">
                  <c:v>55.144300000000001</c:v>
                </c:pt>
                <c:pt idx="54">
                  <c:v>55.976199999999999</c:v>
                </c:pt>
                <c:pt idx="55">
                  <c:v>56.095100000000002</c:v>
                </c:pt>
                <c:pt idx="56">
                  <c:v>56.570500000000003</c:v>
                </c:pt>
                <c:pt idx="57">
                  <c:v>58.353099999999998</c:v>
                </c:pt>
              </c:numCache>
            </c:numRef>
          </c:xVal>
          <c:yVal>
            <c:numRef>
              <c:f>损失查看_tmp!$S$2:$S$59</c:f>
              <c:numCache>
                <c:formatCode>0.00E+00</c:formatCode>
                <c:ptCount val="58"/>
                <c:pt idx="0">
                  <c:v>0.225489531252761</c:v>
                </c:pt>
                <c:pt idx="1">
                  <c:v>0.23213856703702099</c:v>
                </c:pt>
                <c:pt idx="2">
                  <c:v>0.238519550441156</c:v>
                </c:pt>
                <c:pt idx="3">
                  <c:v>0.25605418637280902</c:v>
                </c:pt>
                <c:pt idx="4">
                  <c:v>0.26391693359127799</c:v>
                </c:pt>
                <c:pt idx="5">
                  <c:v>0.29664125606391001</c:v>
                </c:pt>
                <c:pt idx="6">
                  <c:v>0.29664125606391001</c:v>
                </c:pt>
                <c:pt idx="7">
                  <c:v>0.30427563737976898</c:v>
                </c:pt>
                <c:pt idx="8">
                  <c:v>0.354974613694651</c:v>
                </c:pt>
                <c:pt idx="9">
                  <c:v>0.39869929044242802</c:v>
                </c:pt>
                <c:pt idx="10">
                  <c:v>0.40601086691782201</c:v>
                </c:pt>
                <c:pt idx="11">
                  <c:v>0.418704489762036</c:v>
                </c:pt>
                <c:pt idx="12">
                  <c:v>0.42546792363938302</c:v>
                </c:pt>
                <c:pt idx="13">
                  <c:v>0.42740646399583998</c:v>
                </c:pt>
                <c:pt idx="14">
                  <c:v>0.43059285750953102</c:v>
                </c:pt>
                <c:pt idx="15">
                  <c:v>0.43059285750953102</c:v>
                </c:pt>
                <c:pt idx="16">
                  <c:v>0.42821390294319001</c:v>
                </c:pt>
                <c:pt idx="17">
                  <c:v>0.42714446340023099</c:v>
                </c:pt>
                <c:pt idx="18">
                  <c:v>0.41287973694380797</c:v>
                </c:pt>
                <c:pt idx="19">
                  <c:v>0.40760363256846899</c:v>
                </c:pt>
                <c:pt idx="20">
                  <c:v>0.40760363256846899</c:v>
                </c:pt>
                <c:pt idx="21">
                  <c:v>0.39307275387900997</c:v>
                </c:pt>
                <c:pt idx="22">
                  <c:v>0.39191648456688399</c:v>
                </c:pt>
                <c:pt idx="23">
                  <c:v>0.38713102155704898</c:v>
                </c:pt>
                <c:pt idx="24">
                  <c:v>0.38713102155704898</c:v>
                </c:pt>
                <c:pt idx="25">
                  <c:v>0.38464321854484801</c:v>
                </c:pt>
                <c:pt idx="26">
                  <c:v>0.38464321854484801</c:v>
                </c:pt>
                <c:pt idx="27">
                  <c:v>0.38337609583920701</c:v>
                </c:pt>
                <c:pt idx="28">
                  <c:v>0.38337609583920701</c:v>
                </c:pt>
                <c:pt idx="29">
                  <c:v>0.38079358653190498</c:v>
                </c:pt>
                <c:pt idx="30">
                  <c:v>0.36397808852571101</c:v>
                </c:pt>
                <c:pt idx="31">
                  <c:v>0.36247525576507</c:v>
                </c:pt>
                <c:pt idx="32">
                  <c:v>0.36095543183094803</c:v>
                </c:pt>
                <c:pt idx="33">
                  <c:v>0.35312437346797498</c:v>
                </c:pt>
                <c:pt idx="34">
                  <c:v>0.28518574402250302</c:v>
                </c:pt>
                <c:pt idx="35">
                  <c:v>0.238740673585462</c:v>
                </c:pt>
                <c:pt idx="36">
                  <c:v>0.223611605157997</c:v>
                </c:pt>
                <c:pt idx="37">
                  <c:v>0.177762527514611</c:v>
                </c:pt>
                <c:pt idx="38">
                  <c:v>0.126882931450399</c:v>
                </c:pt>
                <c:pt idx="39">
                  <c:v>0.12247321181283401</c:v>
                </c:pt>
                <c:pt idx="40">
                  <c:v>0.102278636778617</c:v>
                </c:pt>
                <c:pt idx="41">
                  <c:v>7.7364825239174304E-2</c:v>
                </c:pt>
                <c:pt idx="42">
                  <c:v>6.9770375056948095E-2</c:v>
                </c:pt>
                <c:pt idx="43">
                  <c:v>5.8162118262763997E-2</c:v>
                </c:pt>
                <c:pt idx="44">
                  <c:v>5.7575371956629602E-2</c:v>
                </c:pt>
                <c:pt idx="45">
                  <c:v>5.7575371956629602E-2</c:v>
                </c:pt>
                <c:pt idx="46">
                  <c:v>5.5568624961559503E-2</c:v>
                </c:pt>
                <c:pt idx="47">
                  <c:v>5.5568624961559503E-2</c:v>
                </c:pt>
                <c:pt idx="48">
                  <c:v>5.4523670948546599E-2</c:v>
                </c:pt>
                <c:pt idx="49">
                  <c:v>5.45054567824199E-2</c:v>
                </c:pt>
                <c:pt idx="50">
                  <c:v>5.4551795322884497E-2</c:v>
                </c:pt>
                <c:pt idx="51">
                  <c:v>5.4744094911770701E-2</c:v>
                </c:pt>
                <c:pt idx="52">
                  <c:v>5.54646453253742E-2</c:v>
                </c:pt>
                <c:pt idx="53">
                  <c:v>5.6632982976817202E-2</c:v>
                </c:pt>
                <c:pt idx="54">
                  <c:v>5.7717306307966697E-2</c:v>
                </c:pt>
                <c:pt idx="55">
                  <c:v>5.7889028753319E-2</c:v>
                </c:pt>
                <c:pt idx="56">
                  <c:v>5.8583885229778102E-2</c:v>
                </c:pt>
                <c:pt idx="57">
                  <c:v>6.1302785146476399E-2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87-475A-9B59-B8912ACBB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828464"/>
        <c:axId val="820828880"/>
      </c:scatterChart>
      <c:valAx>
        <c:axId val="8208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828880"/>
        <c:crosses val="autoZero"/>
        <c:crossBetween val="midCat"/>
      </c:valAx>
      <c:valAx>
        <c:axId val="82082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82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HCO3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损失查看_tmp!$V$1</c:f>
              <c:strCache>
                <c:ptCount val="1"/>
                <c:pt idx="0">
                  <c:v>HCO3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损失查看_tmp!$U$2:$U$53</c:f>
              <c:numCache>
                <c:formatCode>General</c:formatCode>
                <c:ptCount val="52"/>
                <c:pt idx="0">
                  <c:v>5.1277699999999999</c:v>
                </c:pt>
                <c:pt idx="1">
                  <c:v>5.3662700000000001</c:v>
                </c:pt>
                <c:pt idx="2">
                  <c:v>5.6047700000000003</c:v>
                </c:pt>
                <c:pt idx="3">
                  <c:v>6.2010199999999998</c:v>
                </c:pt>
                <c:pt idx="4">
                  <c:v>6.6780200000000001</c:v>
                </c:pt>
                <c:pt idx="5">
                  <c:v>8.46678</c:v>
                </c:pt>
                <c:pt idx="6">
                  <c:v>8.5860299999999992</c:v>
                </c:pt>
                <c:pt idx="7">
                  <c:v>8.9437800000000003</c:v>
                </c:pt>
                <c:pt idx="8">
                  <c:v>11.8058</c:v>
                </c:pt>
                <c:pt idx="9">
                  <c:v>14.3101</c:v>
                </c:pt>
                <c:pt idx="10">
                  <c:v>14.787100000000001</c:v>
                </c:pt>
                <c:pt idx="11">
                  <c:v>16.2181</c:v>
                </c:pt>
                <c:pt idx="12">
                  <c:v>17.529800000000002</c:v>
                </c:pt>
                <c:pt idx="13">
                  <c:v>18.006799999999998</c:v>
                </c:pt>
                <c:pt idx="14">
                  <c:v>19.3186</c:v>
                </c:pt>
                <c:pt idx="15">
                  <c:v>19.3186</c:v>
                </c:pt>
                <c:pt idx="16">
                  <c:v>21.584299999999999</c:v>
                </c:pt>
                <c:pt idx="17">
                  <c:v>21.9421</c:v>
                </c:pt>
                <c:pt idx="18">
                  <c:v>24.684799999999999</c:v>
                </c:pt>
                <c:pt idx="19">
                  <c:v>25.400300000000001</c:v>
                </c:pt>
                <c:pt idx="20">
                  <c:v>25.400300000000001</c:v>
                </c:pt>
                <c:pt idx="21">
                  <c:v>26.950600000000001</c:v>
                </c:pt>
                <c:pt idx="22">
                  <c:v>27.1891</c:v>
                </c:pt>
                <c:pt idx="23">
                  <c:v>27.6661</c:v>
                </c:pt>
                <c:pt idx="24">
                  <c:v>27.6661</c:v>
                </c:pt>
                <c:pt idx="25">
                  <c:v>27.785299999999999</c:v>
                </c:pt>
                <c:pt idx="26">
                  <c:v>27.904599999999999</c:v>
                </c:pt>
                <c:pt idx="27">
                  <c:v>27.904599999999999</c:v>
                </c:pt>
                <c:pt idx="28">
                  <c:v>28.023900000000001</c:v>
                </c:pt>
                <c:pt idx="29">
                  <c:v>28.381599999999999</c:v>
                </c:pt>
                <c:pt idx="30">
                  <c:v>29.6934</c:v>
                </c:pt>
                <c:pt idx="31">
                  <c:v>29.8126</c:v>
                </c:pt>
                <c:pt idx="32">
                  <c:v>29.931899999999999</c:v>
                </c:pt>
                <c:pt idx="33">
                  <c:v>30.408899999999999</c:v>
                </c:pt>
                <c:pt idx="34">
                  <c:v>34.821100000000001</c:v>
                </c:pt>
                <c:pt idx="35">
                  <c:v>37.206099999999999</c:v>
                </c:pt>
                <c:pt idx="36">
                  <c:v>37.921599999999998</c:v>
                </c:pt>
                <c:pt idx="37">
                  <c:v>39.829599999999999</c:v>
                </c:pt>
                <c:pt idx="38">
                  <c:v>42.214700000000001</c:v>
                </c:pt>
                <c:pt idx="39">
                  <c:v>42.572400000000002</c:v>
                </c:pt>
                <c:pt idx="40">
                  <c:v>43.764899999999997</c:v>
                </c:pt>
                <c:pt idx="41">
                  <c:v>45.672899999999998</c:v>
                </c:pt>
                <c:pt idx="42">
                  <c:v>46.5077</c:v>
                </c:pt>
                <c:pt idx="43">
                  <c:v>49.011899999999997</c:v>
                </c:pt>
                <c:pt idx="44">
                  <c:v>49.250399999999999</c:v>
                </c:pt>
                <c:pt idx="45">
                  <c:v>49.250399999999999</c:v>
                </c:pt>
                <c:pt idx="46">
                  <c:v>50.2044</c:v>
                </c:pt>
                <c:pt idx="47">
                  <c:v>50.323700000000002</c:v>
                </c:pt>
                <c:pt idx="48">
                  <c:v>51.635399999999997</c:v>
                </c:pt>
                <c:pt idx="49">
                  <c:v>51.7547</c:v>
                </c:pt>
                <c:pt idx="50">
                  <c:v>52.231699999999996</c:v>
                </c:pt>
                <c:pt idx="51">
                  <c:v>52.7087</c:v>
                </c:pt>
              </c:numCache>
            </c:numRef>
          </c:xVal>
          <c:yVal>
            <c:numRef>
              <c:f>损失查看_tmp!$V$2:$V$53</c:f>
              <c:numCache>
                <c:formatCode>General</c:formatCode>
                <c:ptCount val="52"/>
                <c:pt idx="0">
                  <c:v>2.23407</c:v>
                </c:pt>
                <c:pt idx="1">
                  <c:v>2.4615300000000002</c:v>
                </c:pt>
                <c:pt idx="2">
                  <c:v>3.10243</c:v>
                </c:pt>
                <c:pt idx="3">
                  <c:v>2.08969</c:v>
                </c:pt>
                <c:pt idx="4">
                  <c:v>3.5988699999999998</c:v>
                </c:pt>
                <c:pt idx="5">
                  <c:v>3.7027600000000001</c:v>
                </c:pt>
                <c:pt idx="6">
                  <c:v>3.7027899999999998</c:v>
                </c:pt>
                <c:pt idx="7">
                  <c:v>3.9923099999999998</c:v>
                </c:pt>
                <c:pt idx="8">
                  <c:v>4.2205399999999997</c:v>
                </c:pt>
                <c:pt idx="9">
                  <c:v>2.5882100000000001</c:v>
                </c:pt>
                <c:pt idx="10">
                  <c:v>2.7537199999999999</c:v>
                </c:pt>
                <c:pt idx="11">
                  <c:v>3.5810200000000001</c:v>
                </c:pt>
                <c:pt idx="12">
                  <c:v>2.7958699999999999</c:v>
                </c:pt>
                <c:pt idx="13">
                  <c:v>2.75467</c:v>
                </c:pt>
                <c:pt idx="14">
                  <c:v>2.58968</c:v>
                </c:pt>
                <c:pt idx="15">
                  <c:v>2.8170700000000002</c:v>
                </c:pt>
                <c:pt idx="16">
                  <c:v>2.94177</c:v>
                </c:pt>
                <c:pt idx="17">
                  <c:v>2.73516</c:v>
                </c:pt>
                <c:pt idx="18">
                  <c:v>2.86</c:v>
                </c:pt>
                <c:pt idx="19">
                  <c:v>2.83954</c:v>
                </c:pt>
                <c:pt idx="20">
                  <c:v>2.5294599999999998</c:v>
                </c:pt>
                <c:pt idx="21">
                  <c:v>2.7573099999999999</c:v>
                </c:pt>
                <c:pt idx="22">
                  <c:v>2.7987299999999999</c:v>
                </c:pt>
                <c:pt idx="23">
                  <c:v>2.6541600000000001</c:v>
                </c:pt>
                <c:pt idx="24">
                  <c:v>2.71618</c:v>
                </c:pt>
                <c:pt idx="25">
                  <c:v>2.4474800000000001</c:v>
                </c:pt>
                <c:pt idx="26">
                  <c:v>2.36483</c:v>
                </c:pt>
                <c:pt idx="27">
                  <c:v>2.5715499999999998</c:v>
                </c:pt>
                <c:pt idx="28">
                  <c:v>2.7576299999999998</c:v>
                </c:pt>
                <c:pt idx="29">
                  <c:v>2.2616100000000001</c:v>
                </c:pt>
                <c:pt idx="30">
                  <c:v>2.7994699999999999</c:v>
                </c:pt>
                <c:pt idx="31">
                  <c:v>3.2956300000000001</c:v>
                </c:pt>
                <c:pt idx="32">
                  <c:v>1.68326</c:v>
                </c:pt>
                <c:pt idx="33">
                  <c:v>2.2001900000000001</c:v>
                </c:pt>
                <c:pt idx="34">
                  <c:v>2.0981399999999999</c:v>
                </c:pt>
                <c:pt idx="35">
                  <c:v>1.97481</c:v>
                </c:pt>
                <c:pt idx="36">
                  <c:v>2.6571899999999999</c:v>
                </c:pt>
                <c:pt idx="37">
                  <c:v>3.4639600000000002</c:v>
                </c:pt>
                <c:pt idx="38">
                  <c:v>2.8031600000000001</c:v>
                </c:pt>
                <c:pt idx="39">
                  <c:v>2.76193</c:v>
                </c:pt>
                <c:pt idx="40">
                  <c:v>3.17571</c:v>
                </c:pt>
                <c:pt idx="41">
                  <c:v>3.1762800000000002</c:v>
                </c:pt>
                <c:pt idx="42">
                  <c:v>2.9698099999999998</c:v>
                </c:pt>
                <c:pt idx="43">
                  <c:v>3.2392799999999999</c:v>
                </c:pt>
                <c:pt idx="44">
                  <c:v>3.65279</c:v>
                </c:pt>
                <c:pt idx="45">
                  <c:v>3.96286</c:v>
                </c:pt>
                <c:pt idx="46">
                  <c:v>2.1853699999999998</c:v>
                </c:pt>
                <c:pt idx="47">
                  <c:v>2.1440600000000001</c:v>
                </c:pt>
                <c:pt idx="48">
                  <c:v>4.2736499999999999</c:v>
                </c:pt>
                <c:pt idx="49">
                  <c:v>5.9481000000000002</c:v>
                </c:pt>
                <c:pt idx="50">
                  <c:v>5.4107700000000003</c:v>
                </c:pt>
                <c:pt idx="51">
                  <c:v>4.9561299999999999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D-4136-994E-A6FF91D8175D}"/>
            </c:ext>
          </c:extLst>
        </c:ser>
        <c:ser>
          <c:idx val="1"/>
          <c:order val="1"/>
          <c:tx>
            <c:strRef>
              <c:f>损失查看_tmp!$W$1</c:f>
              <c:strCache>
                <c:ptCount val="1"/>
                <c:pt idx="0">
                  <c:v>HCO31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损失查看_tmp!$U$2:$U$53</c:f>
              <c:numCache>
                <c:formatCode>General</c:formatCode>
                <c:ptCount val="52"/>
                <c:pt idx="0">
                  <c:v>5.1277699999999999</c:v>
                </c:pt>
                <c:pt idx="1">
                  <c:v>5.3662700000000001</c:v>
                </c:pt>
                <c:pt idx="2">
                  <c:v>5.6047700000000003</c:v>
                </c:pt>
                <c:pt idx="3">
                  <c:v>6.2010199999999998</c:v>
                </c:pt>
                <c:pt idx="4">
                  <c:v>6.6780200000000001</c:v>
                </c:pt>
                <c:pt idx="5">
                  <c:v>8.46678</c:v>
                </c:pt>
                <c:pt idx="6">
                  <c:v>8.5860299999999992</c:v>
                </c:pt>
                <c:pt idx="7">
                  <c:v>8.9437800000000003</c:v>
                </c:pt>
                <c:pt idx="8">
                  <c:v>11.8058</c:v>
                </c:pt>
                <c:pt idx="9">
                  <c:v>14.3101</c:v>
                </c:pt>
                <c:pt idx="10">
                  <c:v>14.787100000000001</c:v>
                </c:pt>
                <c:pt idx="11">
                  <c:v>16.2181</c:v>
                </c:pt>
                <c:pt idx="12">
                  <c:v>17.529800000000002</c:v>
                </c:pt>
                <c:pt idx="13">
                  <c:v>18.006799999999998</c:v>
                </c:pt>
                <c:pt idx="14">
                  <c:v>19.3186</c:v>
                </c:pt>
                <c:pt idx="15">
                  <c:v>19.3186</c:v>
                </c:pt>
                <c:pt idx="16">
                  <c:v>21.584299999999999</c:v>
                </c:pt>
                <c:pt idx="17">
                  <c:v>21.9421</c:v>
                </c:pt>
                <c:pt idx="18">
                  <c:v>24.684799999999999</c:v>
                </c:pt>
                <c:pt idx="19">
                  <c:v>25.400300000000001</c:v>
                </c:pt>
                <c:pt idx="20">
                  <c:v>25.400300000000001</c:v>
                </c:pt>
                <c:pt idx="21">
                  <c:v>26.950600000000001</c:v>
                </c:pt>
                <c:pt idx="22">
                  <c:v>27.1891</c:v>
                </c:pt>
                <c:pt idx="23">
                  <c:v>27.6661</c:v>
                </c:pt>
                <c:pt idx="24">
                  <c:v>27.6661</c:v>
                </c:pt>
                <c:pt idx="25">
                  <c:v>27.785299999999999</c:v>
                </c:pt>
                <c:pt idx="26">
                  <c:v>27.904599999999999</c:v>
                </c:pt>
                <c:pt idx="27">
                  <c:v>27.904599999999999</c:v>
                </c:pt>
                <c:pt idx="28">
                  <c:v>28.023900000000001</c:v>
                </c:pt>
                <c:pt idx="29">
                  <c:v>28.381599999999999</c:v>
                </c:pt>
                <c:pt idx="30">
                  <c:v>29.6934</c:v>
                </c:pt>
                <c:pt idx="31">
                  <c:v>29.8126</c:v>
                </c:pt>
                <c:pt idx="32">
                  <c:v>29.931899999999999</c:v>
                </c:pt>
                <c:pt idx="33">
                  <c:v>30.408899999999999</c:v>
                </c:pt>
                <c:pt idx="34">
                  <c:v>34.821100000000001</c:v>
                </c:pt>
                <c:pt idx="35">
                  <c:v>37.206099999999999</c:v>
                </c:pt>
                <c:pt idx="36">
                  <c:v>37.921599999999998</c:v>
                </c:pt>
                <c:pt idx="37">
                  <c:v>39.829599999999999</c:v>
                </c:pt>
                <c:pt idx="38">
                  <c:v>42.214700000000001</c:v>
                </c:pt>
                <c:pt idx="39">
                  <c:v>42.572400000000002</c:v>
                </c:pt>
                <c:pt idx="40">
                  <c:v>43.764899999999997</c:v>
                </c:pt>
                <c:pt idx="41">
                  <c:v>45.672899999999998</c:v>
                </c:pt>
                <c:pt idx="42">
                  <c:v>46.5077</c:v>
                </c:pt>
                <c:pt idx="43">
                  <c:v>49.011899999999997</c:v>
                </c:pt>
                <c:pt idx="44">
                  <c:v>49.250399999999999</c:v>
                </c:pt>
                <c:pt idx="45">
                  <c:v>49.250399999999999</c:v>
                </c:pt>
                <c:pt idx="46">
                  <c:v>50.2044</c:v>
                </c:pt>
                <c:pt idx="47">
                  <c:v>50.323700000000002</c:v>
                </c:pt>
                <c:pt idx="48">
                  <c:v>51.635399999999997</c:v>
                </c:pt>
                <c:pt idx="49">
                  <c:v>51.7547</c:v>
                </c:pt>
                <c:pt idx="50">
                  <c:v>52.231699999999996</c:v>
                </c:pt>
                <c:pt idx="51">
                  <c:v>52.7087</c:v>
                </c:pt>
              </c:numCache>
            </c:numRef>
          </c:xVal>
          <c:yVal>
            <c:numRef>
              <c:f>损失查看_tmp!$W$2:$W$53</c:f>
              <c:numCache>
                <c:formatCode>0.00E+00</c:formatCode>
                <c:ptCount val="52"/>
                <c:pt idx="0">
                  <c:v>3.0127061015527001</c:v>
                </c:pt>
                <c:pt idx="1">
                  <c:v>3.01192607859935</c:v>
                </c:pt>
                <c:pt idx="2">
                  <c:v>3.0111762191966802</c:v>
                </c:pt>
                <c:pt idx="3">
                  <c:v>3.0094335362242002</c:v>
                </c:pt>
                <c:pt idx="4">
                  <c:v>3.0081751258242702</c:v>
                </c:pt>
                <c:pt idx="5">
                  <c:v>3.00438045721934</c:v>
                </c:pt>
                <c:pt idx="6">
                  <c:v>3.0041112789158402</c:v>
                </c:pt>
                <c:pt idx="7">
                  <c:v>3.0032313599242602</c:v>
                </c:pt>
                <c:pt idx="8">
                  <c:v>2.9922831668263701</c:v>
                </c:pt>
                <c:pt idx="9">
                  <c:v>2.9780920488873499</c:v>
                </c:pt>
                <c:pt idx="10">
                  <c:v>2.9750745805465701</c:v>
                </c:pt>
                <c:pt idx="11">
                  <c:v>2.9654195780882202</c:v>
                </c:pt>
                <c:pt idx="12">
                  <c:v>2.9556985481221698</c:v>
                </c:pt>
                <c:pt idx="13">
                  <c:v>2.95194568381753</c:v>
                </c:pt>
                <c:pt idx="14">
                  <c:v>2.9410258809577501</c:v>
                </c:pt>
                <c:pt idx="15">
                  <c:v>2.9410258809577501</c:v>
                </c:pt>
                <c:pt idx="16">
                  <c:v>2.9194865745220002</c:v>
                </c:pt>
                <c:pt idx="17">
                  <c:v>2.91563522549326</c:v>
                </c:pt>
                <c:pt idx="18">
                  <c:v>2.8818728095921502</c:v>
                </c:pt>
                <c:pt idx="19">
                  <c:v>2.8718224263354801</c:v>
                </c:pt>
                <c:pt idx="20">
                  <c:v>2.8718224263354801</c:v>
                </c:pt>
                <c:pt idx="21">
                  <c:v>2.84827048277177</c:v>
                </c:pt>
                <c:pt idx="22">
                  <c:v>2.8444315924408499</c:v>
                </c:pt>
                <c:pt idx="23">
                  <c:v>2.8365813115940202</c:v>
                </c:pt>
                <c:pt idx="24">
                  <c:v>2.8365813115940202</c:v>
                </c:pt>
                <c:pt idx="25">
                  <c:v>2.83458364480488</c:v>
                </c:pt>
                <c:pt idx="26">
                  <c:v>2.8325699210780999</c:v>
                </c:pt>
                <c:pt idx="27">
                  <c:v>2.8325699210780999</c:v>
                </c:pt>
                <c:pt idx="28">
                  <c:v>2.8305418309731198</c:v>
                </c:pt>
                <c:pt idx="29">
                  <c:v>2.8243799154485498</c:v>
                </c:pt>
                <c:pt idx="30">
                  <c:v>2.8007546302106099</c:v>
                </c:pt>
                <c:pt idx="31">
                  <c:v>2.7985278251688599</c:v>
                </c:pt>
                <c:pt idx="32">
                  <c:v>2.7962858017795602</c:v>
                </c:pt>
                <c:pt idx="33">
                  <c:v>2.7871880093901602</c:v>
                </c:pt>
                <c:pt idx="34">
                  <c:v>2.6972091013688702</c:v>
                </c:pt>
                <c:pt idx="35">
                  <c:v>2.6507593069719002</c:v>
                </c:pt>
                <c:pt idx="36">
                  <c:v>2.6391873566480601</c:v>
                </c:pt>
                <c:pt idx="37">
                  <c:v>2.6148128906554802</c:v>
                </c:pt>
                <c:pt idx="38">
                  <c:v>2.6116445234463201</c:v>
                </c:pt>
                <c:pt idx="39">
                  <c:v>2.61523555909399</c:v>
                </c:pt>
                <c:pt idx="40">
                  <c:v>2.6348924820872899</c:v>
                </c:pt>
                <c:pt idx="41">
                  <c:v>2.6905280736869899</c:v>
                </c:pt>
                <c:pt idx="42">
                  <c:v>2.7240580456313199</c:v>
                </c:pt>
                <c:pt idx="43">
                  <c:v>2.8576824097126101</c:v>
                </c:pt>
                <c:pt idx="44">
                  <c:v>2.8728179747209399</c:v>
                </c:pt>
                <c:pt idx="45">
                  <c:v>2.8728179747209399</c:v>
                </c:pt>
                <c:pt idx="46">
                  <c:v>2.9373710436756899</c:v>
                </c:pt>
                <c:pt idx="47">
                  <c:v>2.94589498680216</c:v>
                </c:pt>
                <c:pt idx="48">
                  <c:v>3.0462330738721599</c:v>
                </c:pt>
                <c:pt idx="49">
                  <c:v>3.0559607641793298</c:v>
                </c:pt>
                <c:pt idx="50">
                  <c:v>3.0958343846235299</c:v>
                </c:pt>
                <c:pt idx="51">
                  <c:v>3.1371385950152102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D-4136-994E-A6FF91D8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049584"/>
        <c:axId val="893050832"/>
      </c:scatterChart>
      <c:valAx>
        <c:axId val="8930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3050832"/>
        <c:crosses val="autoZero"/>
        <c:crossBetween val="midCat"/>
      </c:valAx>
      <c:valAx>
        <c:axId val="8930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304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171449</xdr:rowOff>
    </xdr:from>
    <xdr:to>
      <xdr:col>5</xdr:col>
      <xdr:colOff>461963</xdr:colOff>
      <xdr:row>26</xdr:row>
      <xdr:rowOff>142874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4B1D32-1773-4ADF-8620-8A2CCA3C6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20</xdr:row>
      <xdr:rowOff>133350</xdr:rowOff>
    </xdr:from>
    <xdr:to>
      <xdr:col>8</xdr:col>
      <xdr:colOff>0</xdr:colOff>
      <xdr:row>35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FC2C74B-7BC4-457C-98DD-87BDE8CF7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361950</xdr:colOff>
      <xdr:row>4</xdr:row>
      <xdr:rowOff>142875</xdr:rowOff>
    </xdr:from>
    <xdr:to>
      <xdr:col>12</xdr:col>
      <xdr:colOff>0</xdr:colOff>
      <xdr:row>19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47C83D-6AEB-4E34-B019-85BBF46A2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476250</xdr:colOff>
      <xdr:row>20</xdr:row>
      <xdr:rowOff>152400</xdr:rowOff>
    </xdr:from>
    <xdr:to>
      <xdr:col>16</xdr:col>
      <xdr:colOff>0</xdr:colOff>
      <xdr:row>36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B822A79-4A9F-4A9D-B737-9C96E28E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5</xdr:row>
      <xdr:rowOff>19050</xdr:rowOff>
    </xdr:from>
    <xdr:to>
      <xdr:col>20</xdr:col>
      <xdr:colOff>0</xdr:colOff>
      <xdr:row>20</xdr:row>
      <xdr:rowOff>47625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D00B654-6AB9-48AD-8400-C564E4E99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542925</xdr:colOff>
      <xdr:row>20</xdr:row>
      <xdr:rowOff>47625</xdr:rowOff>
    </xdr:from>
    <xdr:to>
      <xdr:col>24</xdr:col>
      <xdr:colOff>314325</xdr:colOff>
      <xdr:row>35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B7F6AF5-688B-4919-9FAC-0158C1504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F8" sqref="F8"/>
    </sheetView>
  </sheetViews>
  <sheetFormatPr defaultRowHeight="14.25" x14ac:dyDescent="0.2"/>
  <sheetData>
    <row r="1" spans="1:2" x14ac:dyDescent="0.2">
      <c r="A1" t="s">
        <v>15</v>
      </c>
      <c r="B1" t="s">
        <v>14</v>
      </c>
    </row>
    <row r="2" spans="1:2" x14ac:dyDescent="0.2">
      <c r="A2">
        <v>1</v>
      </c>
      <c r="B2">
        <v>0</v>
      </c>
    </row>
    <row r="3" spans="1:2" x14ac:dyDescent="0.2">
      <c r="A3">
        <v>11</v>
      </c>
      <c r="B3">
        <v>0.44379999999999953</v>
      </c>
    </row>
    <row r="4" spans="1:2" x14ac:dyDescent="0.2">
      <c r="A4">
        <v>21</v>
      </c>
      <c r="B4">
        <v>1.6188000000000002</v>
      </c>
    </row>
    <row r="5" spans="1:2" x14ac:dyDescent="0.2">
      <c r="A5">
        <v>31</v>
      </c>
      <c r="B5">
        <v>1.7807999999999993</v>
      </c>
    </row>
    <row r="6" spans="1:2" x14ac:dyDescent="0.2">
      <c r="A6">
        <v>41</v>
      </c>
      <c r="B6">
        <v>2.0727999999999991</v>
      </c>
    </row>
    <row r="7" spans="1:2" x14ac:dyDescent="0.2">
      <c r="A7">
        <v>51</v>
      </c>
      <c r="B7">
        <v>3.7707999999999995</v>
      </c>
    </row>
    <row r="8" spans="1:2" x14ac:dyDescent="0.2">
      <c r="A8">
        <v>61</v>
      </c>
      <c r="B8">
        <v>3.9377999999999993</v>
      </c>
    </row>
    <row r="9" spans="1:2" x14ac:dyDescent="0.2">
      <c r="A9">
        <v>71</v>
      </c>
      <c r="B9">
        <v>3.8878000000000004</v>
      </c>
    </row>
    <row r="10" spans="1:2" x14ac:dyDescent="0.2">
      <c r="A10">
        <v>81</v>
      </c>
      <c r="B10">
        <v>3.5617999999999999</v>
      </c>
    </row>
    <row r="11" spans="1:2" x14ac:dyDescent="0.2">
      <c r="A11">
        <v>91</v>
      </c>
      <c r="B11">
        <v>4.5768000000000004</v>
      </c>
    </row>
    <row r="12" spans="1:2" x14ac:dyDescent="0.2">
      <c r="A12">
        <v>101</v>
      </c>
      <c r="B12">
        <v>5.0877999999999997</v>
      </c>
    </row>
    <row r="13" spans="1:2" x14ac:dyDescent="0.2">
      <c r="A13">
        <v>111</v>
      </c>
      <c r="B13">
        <v>5.6297999999999995</v>
      </c>
    </row>
    <row r="14" spans="1:2" x14ac:dyDescent="0.2">
      <c r="A14">
        <v>121</v>
      </c>
      <c r="B14">
        <v>4.992799999999999</v>
      </c>
    </row>
    <row r="15" spans="1:2" x14ac:dyDescent="0.2">
      <c r="A15">
        <v>131</v>
      </c>
      <c r="B15">
        <v>5.4847999999999999</v>
      </c>
    </row>
    <row r="16" spans="1:2" x14ac:dyDescent="0.2">
      <c r="A16">
        <v>141</v>
      </c>
      <c r="B16">
        <v>5.8498000000000001</v>
      </c>
    </row>
    <row r="17" spans="1:2" x14ac:dyDescent="0.2">
      <c r="A17">
        <v>151</v>
      </c>
      <c r="B17">
        <v>5.4337999999999997</v>
      </c>
    </row>
    <row r="18" spans="1:2" x14ac:dyDescent="0.2">
      <c r="A18">
        <v>161</v>
      </c>
      <c r="B18">
        <v>6.4027999999999992</v>
      </c>
    </row>
    <row r="19" spans="1:2" x14ac:dyDescent="0.2">
      <c r="A19">
        <v>171</v>
      </c>
      <c r="B19">
        <v>6.1918000000000006</v>
      </c>
    </row>
    <row r="20" spans="1:2" x14ac:dyDescent="0.2">
      <c r="A20">
        <v>181</v>
      </c>
      <c r="B20">
        <v>6.0887999999999991</v>
      </c>
    </row>
    <row r="21" spans="1:2" x14ac:dyDescent="0.2">
      <c r="A21">
        <v>191</v>
      </c>
      <c r="B21">
        <v>6.9038000000000004</v>
      </c>
    </row>
    <row r="22" spans="1:2" x14ac:dyDescent="0.2">
      <c r="A22">
        <v>201</v>
      </c>
      <c r="B22">
        <v>6.3528000000000002</v>
      </c>
    </row>
    <row r="23" spans="1:2" x14ac:dyDescent="0.2">
      <c r="A23">
        <v>211</v>
      </c>
      <c r="B23">
        <v>6.5868000000000002</v>
      </c>
    </row>
    <row r="24" spans="1:2" x14ac:dyDescent="0.2">
      <c r="A24">
        <v>221</v>
      </c>
      <c r="B24">
        <v>6.4938000000000002</v>
      </c>
    </row>
    <row r="25" spans="1:2" x14ac:dyDescent="0.2">
      <c r="A25">
        <v>231</v>
      </c>
      <c r="B25">
        <v>7.0117999999999991</v>
      </c>
    </row>
    <row r="26" spans="1:2" x14ac:dyDescent="0.2">
      <c r="A26">
        <v>241</v>
      </c>
      <c r="B26">
        <v>7.3167999999999989</v>
      </c>
    </row>
    <row r="27" spans="1:2" x14ac:dyDescent="0.2">
      <c r="A27">
        <v>251</v>
      </c>
      <c r="B27">
        <v>8.0688000000000013</v>
      </c>
    </row>
    <row r="28" spans="1:2" x14ac:dyDescent="0.2">
      <c r="A28">
        <v>261</v>
      </c>
      <c r="B28">
        <v>7.0218000000000007</v>
      </c>
    </row>
    <row r="29" spans="1:2" x14ac:dyDescent="0.2">
      <c r="A29">
        <v>271</v>
      </c>
      <c r="B29">
        <v>7.2467999999999986</v>
      </c>
    </row>
    <row r="30" spans="1:2" x14ac:dyDescent="0.2">
      <c r="A30">
        <v>281</v>
      </c>
      <c r="B30">
        <v>6.7698</v>
      </c>
    </row>
    <row r="31" spans="1:2" x14ac:dyDescent="0.2">
      <c r="A31">
        <v>291</v>
      </c>
      <c r="B31">
        <v>7.2838000000000012</v>
      </c>
    </row>
    <row r="32" spans="1:2" x14ac:dyDescent="0.2">
      <c r="A32">
        <v>300</v>
      </c>
      <c r="B32">
        <v>7.9498000000000015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D600-EBD4-4FB5-A47B-23A07923A171}">
  <dimension ref="A1:F300"/>
  <sheetViews>
    <sheetView tabSelected="1" workbookViewId="0">
      <selection activeCell="H8" sqref="H8"/>
    </sheetView>
  </sheetViews>
  <sheetFormatPr defaultRowHeight="14.25" x14ac:dyDescent="0.2"/>
  <sheetData>
    <row r="1" spans="1:6" x14ac:dyDescent="0.2">
      <c r="A1">
        <v>1</v>
      </c>
      <c r="B1">
        <v>0</v>
      </c>
      <c r="D1">
        <f>A1</f>
        <v>1</v>
      </c>
      <c r="E1">
        <f>B1</f>
        <v>0</v>
      </c>
      <c r="F1" s="1"/>
    </row>
    <row r="2" spans="1:6" x14ac:dyDescent="0.2">
      <c r="A2">
        <v>2</v>
      </c>
      <c r="B2">
        <v>0.21340000000000003</v>
      </c>
      <c r="D2">
        <f>A11</f>
        <v>11</v>
      </c>
      <c r="E2">
        <f>B11</f>
        <v>0.44379999999999953</v>
      </c>
    </row>
    <row r="3" spans="1:6" x14ac:dyDescent="0.2">
      <c r="A3">
        <v>3</v>
      </c>
      <c r="B3">
        <v>8.5699999999999221E-2</v>
      </c>
      <c r="D3">
        <f>A21</f>
        <v>21</v>
      </c>
      <c r="E3">
        <f>B21</f>
        <v>1.6188000000000002</v>
      </c>
    </row>
    <row r="4" spans="1:6" x14ac:dyDescent="0.2">
      <c r="A4">
        <v>4</v>
      </c>
      <c r="B4">
        <v>-2.1000000000004349E-3</v>
      </c>
      <c r="D4">
        <f>A31</f>
        <v>31</v>
      </c>
      <c r="E4">
        <f>B31</f>
        <v>1.7807999999999993</v>
      </c>
    </row>
    <row r="5" spans="1:6" x14ac:dyDescent="0.2">
      <c r="A5">
        <v>5</v>
      </c>
      <c r="B5">
        <v>-0.37000000000000099</v>
      </c>
      <c r="D5">
        <f>A41</f>
        <v>41</v>
      </c>
      <c r="E5">
        <f>B41</f>
        <v>2.0727999999999991</v>
      </c>
    </row>
    <row r="6" spans="1:6" x14ac:dyDescent="0.2">
      <c r="A6">
        <v>6</v>
      </c>
      <c r="B6">
        <v>0.34249999999999936</v>
      </c>
      <c r="D6">
        <f>A51</f>
        <v>51</v>
      </c>
      <c r="E6">
        <f>B51</f>
        <v>3.7707999999999995</v>
      </c>
    </row>
    <row r="7" spans="1:6" x14ac:dyDescent="0.2">
      <c r="A7">
        <v>7</v>
      </c>
      <c r="B7">
        <v>-0.31109999999999971</v>
      </c>
      <c r="D7">
        <f>A61</f>
        <v>61</v>
      </c>
      <c r="E7">
        <f>B61</f>
        <v>3.9377999999999993</v>
      </c>
    </row>
    <row r="8" spans="1:6" x14ac:dyDescent="0.2">
      <c r="A8">
        <v>8</v>
      </c>
      <c r="B8">
        <v>0.55589999999999939</v>
      </c>
      <c r="D8">
        <f>A71</f>
        <v>71</v>
      </c>
      <c r="E8">
        <f>B71</f>
        <v>3.8878000000000004</v>
      </c>
    </row>
    <row r="9" spans="1:6" x14ac:dyDescent="0.2">
      <c r="A9">
        <v>9</v>
      </c>
      <c r="B9">
        <v>0.52479999999999905</v>
      </c>
      <c r="D9">
        <f>A81</f>
        <v>81</v>
      </c>
      <c r="E9">
        <f>B81</f>
        <v>3.5617999999999999</v>
      </c>
    </row>
    <row r="10" spans="1:6" x14ac:dyDescent="0.2">
      <c r="A10">
        <v>10</v>
      </c>
      <c r="B10">
        <v>0.11580000000000013</v>
      </c>
      <c r="D10">
        <f>A91</f>
        <v>91</v>
      </c>
      <c r="E10">
        <f>B91</f>
        <v>4.5768000000000004</v>
      </c>
    </row>
    <row r="11" spans="1:6" x14ac:dyDescent="0.2">
      <c r="A11">
        <v>11</v>
      </c>
      <c r="B11">
        <v>0.44379999999999953</v>
      </c>
      <c r="D11">
        <f>A101</f>
        <v>101</v>
      </c>
      <c r="E11">
        <f>B101</f>
        <v>5.0877999999999997</v>
      </c>
    </row>
    <row r="12" spans="1:6" x14ac:dyDescent="0.2">
      <c r="A12">
        <v>12</v>
      </c>
      <c r="B12">
        <v>0.85670000000000002</v>
      </c>
      <c r="D12">
        <f>A111</f>
        <v>111</v>
      </c>
      <c r="E12">
        <f>B111</f>
        <v>5.6297999999999995</v>
      </c>
    </row>
    <row r="13" spans="1:6" x14ac:dyDescent="0.2">
      <c r="A13">
        <v>13</v>
      </c>
      <c r="B13">
        <v>0.60800000000000054</v>
      </c>
      <c r="D13">
        <f>A121</f>
        <v>121</v>
      </c>
      <c r="E13">
        <f>B121</f>
        <v>4.992799999999999</v>
      </c>
    </row>
    <row r="14" spans="1:6" x14ac:dyDescent="0.2">
      <c r="A14">
        <v>14</v>
      </c>
      <c r="B14">
        <v>0.53969999999999985</v>
      </c>
      <c r="D14">
        <f>A131</f>
        <v>131</v>
      </c>
      <c r="E14">
        <f>B131</f>
        <v>5.4847999999999999</v>
      </c>
    </row>
    <row r="15" spans="1:6" x14ac:dyDescent="0.2">
      <c r="A15">
        <v>15</v>
      </c>
      <c r="B15">
        <v>1.1707999999999998</v>
      </c>
      <c r="D15">
        <f>A141</f>
        <v>141</v>
      </c>
      <c r="E15">
        <f>B141</f>
        <v>5.8498000000000001</v>
      </c>
    </row>
    <row r="16" spans="1:6" x14ac:dyDescent="0.2">
      <c r="A16">
        <v>16</v>
      </c>
      <c r="B16">
        <v>1.4277999999999995</v>
      </c>
      <c r="D16">
        <f>A151</f>
        <v>151</v>
      </c>
      <c r="E16">
        <f>B151</f>
        <v>5.4337999999999997</v>
      </c>
    </row>
    <row r="17" spans="1:5" x14ac:dyDescent="0.2">
      <c r="A17">
        <v>17</v>
      </c>
      <c r="B17">
        <v>1.3368000000000002</v>
      </c>
      <c r="D17">
        <f>A161</f>
        <v>161</v>
      </c>
      <c r="E17">
        <f>B161</f>
        <v>6.4027999999999992</v>
      </c>
    </row>
    <row r="18" spans="1:5" x14ac:dyDescent="0.2">
      <c r="A18">
        <v>18</v>
      </c>
      <c r="B18">
        <v>0.97579999999999956</v>
      </c>
      <c r="D18">
        <f>A171</f>
        <v>171</v>
      </c>
      <c r="E18">
        <f>B171</f>
        <v>6.1918000000000006</v>
      </c>
    </row>
    <row r="19" spans="1:5" x14ac:dyDescent="0.2">
      <c r="A19">
        <v>19</v>
      </c>
      <c r="B19">
        <v>1.6837999999999997</v>
      </c>
      <c r="D19">
        <f>A181</f>
        <v>181</v>
      </c>
      <c r="E19">
        <f>B181</f>
        <v>6.0887999999999991</v>
      </c>
    </row>
    <row r="20" spans="1:5" x14ac:dyDescent="0.2">
      <c r="A20">
        <v>20</v>
      </c>
      <c r="B20">
        <v>1.4307999999999996</v>
      </c>
      <c r="D20">
        <f>A191</f>
        <v>191</v>
      </c>
      <c r="E20">
        <f>B191</f>
        <v>6.9038000000000004</v>
      </c>
    </row>
    <row r="21" spans="1:5" x14ac:dyDescent="0.2">
      <c r="A21">
        <v>21</v>
      </c>
      <c r="B21">
        <v>1.6188000000000002</v>
      </c>
      <c r="D21">
        <f>A201</f>
        <v>201</v>
      </c>
      <c r="E21">
        <f>B201</f>
        <v>6.3528000000000002</v>
      </c>
    </row>
    <row r="22" spans="1:5" x14ac:dyDescent="0.2">
      <c r="A22">
        <v>22</v>
      </c>
      <c r="B22">
        <v>0.99380000000000024</v>
      </c>
      <c r="D22">
        <f>A211</f>
        <v>211</v>
      </c>
      <c r="E22">
        <f>B211</f>
        <v>6.5868000000000002</v>
      </c>
    </row>
    <row r="23" spans="1:5" x14ac:dyDescent="0.2">
      <c r="A23">
        <v>23</v>
      </c>
      <c r="B23">
        <v>1.7637999999999998</v>
      </c>
      <c r="D23">
        <f>A221</f>
        <v>221</v>
      </c>
      <c r="E23">
        <f>B221</f>
        <v>6.4938000000000002</v>
      </c>
    </row>
    <row r="24" spans="1:5" x14ac:dyDescent="0.2">
      <c r="A24">
        <v>24</v>
      </c>
      <c r="B24">
        <v>1.5377999999999989</v>
      </c>
      <c r="D24">
        <f>A231</f>
        <v>231</v>
      </c>
      <c r="E24">
        <f>B231</f>
        <v>7.0117999999999991</v>
      </c>
    </row>
    <row r="25" spans="1:5" x14ac:dyDescent="0.2">
      <c r="A25">
        <v>25</v>
      </c>
      <c r="B25">
        <v>1.8308</v>
      </c>
      <c r="D25">
        <f>A241</f>
        <v>241</v>
      </c>
      <c r="E25">
        <f>B241</f>
        <v>7.3167999999999989</v>
      </c>
    </row>
    <row r="26" spans="1:5" x14ac:dyDescent="0.2">
      <c r="A26">
        <v>26</v>
      </c>
      <c r="B26">
        <v>1.1918000000000006</v>
      </c>
      <c r="D26">
        <f>A251</f>
        <v>251</v>
      </c>
      <c r="E26">
        <f>B251</f>
        <v>8.0688000000000013</v>
      </c>
    </row>
    <row r="27" spans="1:5" x14ac:dyDescent="0.2">
      <c r="A27">
        <v>27</v>
      </c>
      <c r="B27">
        <v>2.3227999999999991</v>
      </c>
      <c r="D27">
        <f>A261</f>
        <v>261</v>
      </c>
      <c r="E27">
        <f>B261</f>
        <v>7.0218000000000007</v>
      </c>
    </row>
    <row r="28" spans="1:5" x14ac:dyDescent="0.2">
      <c r="A28">
        <v>28</v>
      </c>
      <c r="B28">
        <v>2.101799999999999</v>
      </c>
      <c r="D28">
        <f>A271</f>
        <v>271</v>
      </c>
      <c r="E28">
        <f>B271</f>
        <v>7.2467999999999986</v>
      </c>
    </row>
    <row r="29" spans="1:5" x14ac:dyDescent="0.2">
      <c r="A29">
        <v>29</v>
      </c>
      <c r="B29">
        <v>2.3908000000000005</v>
      </c>
      <c r="D29">
        <f>A281</f>
        <v>281</v>
      </c>
      <c r="E29">
        <f>B281</f>
        <v>6.7698</v>
      </c>
    </row>
    <row r="30" spans="1:5" x14ac:dyDescent="0.2">
      <c r="A30">
        <v>30</v>
      </c>
      <c r="B30">
        <v>1.5407999999999991</v>
      </c>
      <c r="D30">
        <f>A291</f>
        <v>291</v>
      </c>
      <c r="E30">
        <f>B291</f>
        <v>7.2838000000000012</v>
      </c>
    </row>
    <row r="31" spans="1:5" x14ac:dyDescent="0.2">
      <c r="A31">
        <v>31</v>
      </c>
      <c r="B31">
        <v>1.7807999999999993</v>
      </c>
      <c r="D31">
        <f>A300</f>
        <v>300</v>
      </c>
      <c r="E31">
        <f>B300</f>
        <v>7.9498000000000015</v>
      </c>
    </row>
    <row r="32" spans="1:5" x14ac:dyDescent="0.2">
      <c r="A32">
        <v>32</v>
      </c>
      <c r="B32">
        <v>2.6898</v>
      </c>
    </row>
    <row r="33" spans="1:2" x14ac:dyDescent="0.2">
      <c r="A33">
        <v>33</v>
      </c>
      <c r="B33">
        <v>2.274799999999999</v>
      </c>
    </row>
    <row r="34" spans="1:2" x14ac:dyDescent="0.2">
      <c r="A34">
        <v>34</v>
      </c>
      <c r="B34">
        <v>1.8458000000000006</v>
      </c>
    </row>
    <row r="35" spans="1:2" x14ac:dyDescent="0.2">
      <c r="A35">
        <v>35</v>
      </c>
      <c r="B35">
        <v>2.585799999999999</v>
      </c>
    </row>
    <row r="36" spans="1:2" x14ac:dyDescent="0.2">
      <c r="A36">
        <v>36</v>
      </c>
      <c r="B36">
        <v>1.7378</v>
      </c>
    </row>
    <row r="37" spans="1:2" x14ac:dyDescent="0.2">
      <c r="A37">
        <v>37</v>
      </c>
      <c r="B37">
        <v>2.3567999999999998</v>
      </c>
    </row>
    <row r="38" spans="1:2" x14ac:dyDescent="0.2">
      <c r="A38">
        <v>38</v>
      </c>
      <c r="B38">
        <v>2.6728000000000005</v>
      </c>
    </row>
    <row r="39" spans="1:2" x14ac:dyDescent="0.2">
      <c r="A39">
        <v>39</v>
      </c>
      <c r="B39">
        <v>2.8247999999999998</v>
      </c>
    </row>
    <row r="40" spans="1:2" x14ac:dyDescent="0.2">
      <c r="A40">
        <v>40</v>
      </c>
      <c r="B40">
        <v>2.0747999999999998</v>
      </c>
    </row>
    <row r="41" spans="1:2" x14ac:dyDescent="0.2">
      <c r="A41">
        <v>41</v>
      </c>
      <c r="B41">
        <v>2.0727999999999991</v>
      </c>
    </row>
    <row r="42" spans="1:2" x14ac:dyDescent="0.2">
      <c r="A42">
        <v>42</v>
      </c>
      <c r="B42">
        <v>2.7127999999999997</v>
      </c>
    </row>
    <row r="43" spans="1:2" x14ac:dyDescent="0.2">
      <c r="A43">
        <v>43</v>
      </c>
      <c r="B43">
        <v>2.9518000000000004</v>
      </c>
    </row>
    <row r="44" spans="1:2" x14ac:dyDescent="0.2">
      <c r="A44">
        <v>44</v>
      </c>
      <c r="B44">
        <v>2.2948000000000004</v>
      </c>
    </row>
    <row r="45" spans="1:2" x14ac:dyDescent="0.2">
      <c r="A45">
        <v>45</v>
      </c>
      <c r="B45">
        <v>3.2417999999999996</v>
      </c>
    </row>
    <row r="46" spans="1:2" x14ac:dyDescent="0.2">
      <c r="A46">
        <v>46</v>
      </c>
      <c r="B46">
        <v>2.3648000000000007</v>
      </c>
    </row>
    <row r="47" spans="1:2" x14ac:dyDescent="0.2">
      <c r="A47">
        <v>47</v>
      </c>
      <c r="B47">
        <v>2.4578000000000007</v>
      </c>
    </row>
    <row r="48" spans="1:2" x14ac:dyDescent="0.2">
      <c r="A48">
        <v>48</v>
      </c>
      <c r="B48">
        <v>3.1557999999999993</v>
      </c>
    </row>
    <row r="49" spans="1:2" x14ac:dyDescent="0.2">
      <c r="A49">
        <v>49</v>
      </c>
      <c r="B49">
        <v>2.9458000000000002</v>
      </c>
    </row>
    <row r="50" spans="1:2" x14ac:dyDescent="0.2">
      <c r="A50">
        <v>50</v>
      </c>
      <c r="B50">
        <v>3.0288000000000004</v>
      </c>
    </row>
    <row r="51" spans="1:2" x14ac:dyDescent="0.2">
      <c r="A51">
        <v>51</v>
      </c>
      <c r="B51">
        <v>3.7707999999999995</v>
      </c>
    </row>
    <row r="52" spans="1:2" x14ac:dyDescent="0.2">
      <c r="A52">
        <v>52</v>
      </c>
      <c r="B52">
        <v>2.7707999999999995</v>
      </c>
    </row>
    <row r="53" spans="1:2" x14ac:dyDescent="0.2">
      <c r="A53">
        <v>53</v>
      </c>
      <c r="B53">
        <v>3.3087999999999997</v>
      </c>
    </row>
    <row r="54" spans="1:2" x14ac:dyDescent="0.2">
      <c r="A54">
        <v>54</v>
      </c>
      <c r="B54">
        <v>3.0327999999999999</v>
      </c>
    </row>
    <row r="55" spans="1:2" x14ac:dyDescent="0.2">
      <c r="A55">
        <v>55</v>
      </c>
      <c r="B55">
        <v>3.7127999999999997</v>
      </c>
    </row>
    <row r="56" spans="1:2" x14ac:dyDescent="0.2">
      <c r="A56">
        <v>56</v>
      </c>
      <c r="B56">
        <v>2.9038000000000004</v>
      </c>
    </row>
    <row r="57" spans="1:2" x14ac:dyDescent="0.2">
      <c r="A57">
        <v>57</v>
      </c>
      <c r="B57">
        <v>3.1058000000000003</v>
      </c>
    </row>
    <row r="58" spans="1:2" x14ac:dyDescent="0.2">
      <c r="A58">
        <v>58</v>
      </c>
      <c r="B58">
        <v>3.7327999999999992</v>
      </c>
    </row>
    <row r="59" spans="1:2" x14ac:dyDescent="0.2">
      <c r="A59">
        <v>59</v>
      </c>
      <c r="B59">
        <v>3.5717999999999996</v>
      </c>
    </row>
    <row r="60" spans="1:2" x14ac:dyDescent="0.2">
      <c r="A60">
        <v>60</v>
      </c>
      <c r="B60">
        <v>3.4268000000000001</v>
      </c>
    </row>
    <row r="61" spans="1:2" x14ac:dyDescent="0.2">
      <c r="A61">
        <v>61</v>
      </c>
      <c r="B61">
        <v>3.9377999999999993</v>
      </c>
    </row>
    <row r="62" spans="1:2" x14ac:dyDescent="0.2">
      <c r="A62">
        <v>62</v>
      </c>
      <c r="B62">
        <v>3.1858000000000004</v>
      </c>
    </row>
    <row r="63" spans="1:2" x14ac:dyDescent="0.2">
      <c r="A63">
        <v>63</v>
      </c>
      <c r="B63">
        <v>3.3308</v>
      </c>
    </row>
    <row r="64" spans="1:2" x14ac:dyDescent="0.2">
      <c r="A64">
        <v>64</v>
      </c>
      <c r="B64">
        <v>3.8607999999999993</v>
      </c>
    </row>
    <row r="65" spans="1:2" x14ac:dyDescent="0.2">
      <c r="A65">
        <v>65</v>
      </c>
      <c r="B65">
        <v>3.5877999999999997</v>
      </c>
    </row>
    <row r="66" spans="1:2" x14ac:dyDescent="0.2">
      <c r="A66">
        <v>66</v>
      </c>
      <c r="B66">
        <v>3.2178000000000004</v>
      </c>
    </row>
    <row r="67" spans="1:2" x14ac:dyDescent="0.2">
      <c r="A67">
        <v>67</v>
      </c>
      <c r="B67">
        <v>3.3908000000000005</v>
      </c>
    </row>
    <row r="68" spans="1:2" x14ac:dyDescent="0.2">
      <c r="A68">
        <v>68</v>
      </c>
      <c r="B68">
        <v>3.8688000000000002</v>
      </c>
    </row>
    <row r="69" spans="1:2" x14ac:dyDescent="0.2">
      <c r="A69">
        <v>69</v>
      </c>
      <c r="B69">
        <v>3.3247999999999998</v>
      </c>
    </row>
    <row r="70" spans="1:2" x14ac:dyDescent="0.2">
      <c r="A70">
        <v>70</v>
      </c>
      <c r="B70">
        <v>3.6158000000000001</v>
      </c>
    </row>
    <row r="71" spans="1:2" x14ac:dyDescent="0.2">
      <c r="A71">
        <v>71</v>
      </c>
      <c r="B71">
        <v>3.8878000000000004</v>
      </c>
    </row>
    <row r="72" spans="1:2" x14ac:dyDescent="0.2">
      <c r="A72">
        <v>72</v>
      </c>
      <c r="B72">
        <v>4.0258000000000003</v>
      </c>
    </row>
    <row r="73" spans="1:2" x14ac:dyDescent="0.2">
      <c r="A73">
        <v>73</v>
      </c>
      <c r="B73">
        <v>3.3588000000000005</v>
      </c>
    </row>
    <row r="74" spans="1:2" x14ac:dyDescent="0.2">
      <c r="A74">
        <v>74</v>
      </c>
      <c r="B74">
        <v>3.6728000000000005</v>
      </c>
    </row>
    <row r="75" spans="1:2" x14ac:dyDescent="0.2">
      <c r="A75">
        <v>75</v>
      </c>
      <c r="B75">
        <v>4.0738000000000003</v>
      </c>
    </row>
    <row r="76" spans="1:2" x14ac:dyDescent="0.2">
      <c r="A76">
        <v>76</v>
      </c>
      <c r="B76">
        <v>4.8667999999999996</v>
      </c>
    </row>
    <row r="77" spans="1:2" x14ac:dyDescent="0.2">
      <c r="A77">
        <v>77</v>
      </c>
      <c r="B77">
        <v>4.7398000000000007</v>
      </c>
    </row>
    <row r="78" spans="1:2" x14ac:dyDescent="0.2">
      <c r="A78">
        <v>78</v>
      </c>
      <c r="B78">
        <v>4.3628</v>
      </c>
    </row>
    <row r="79" spans="1:2" x14ac:dyDescent="0.2">
      <c r="A79">
        <v>79</v>
      </c>
      <c r="B79">
        <v>4.8008000000000006</v>
      </c>
    </row>
    <row r="80" spans="1:2" x14ac:dyDescent="0.2">
      <c r="A80">
        <v>80</v>
      </c>
      <c r="B80">
        <v>4.6417999999999999</v>
      </c>
    </row>
    <row r="81" spans="1:2" x14ac:dyDescent="0.2">
      <c r="A81">
        <v>81</v>
      </c>
      <c r="B81">
        <v>3.5617999999999999</v>
      </c>
    </row>
    <row r="82" spans="1:2" x14ac:dyDescent="0.2">
      <c r="A82">
        <v>82</v>
      </c>
      <c r="B82">
        <v>4.9428000000000001</v>
      </c>
    </row>
    <row r="83" spans="1:2" x14ac:dyDescent="0.2">
      <c r="A83">
        <v>83</v>
      </c>
      <c r="B83">
        <v>4.5028000000000006</v>
      </c>
    </row>
    <row r="84" spans="1:2" x14ac:dyDescent="0.2">
      <c r="A84">
        <v>84</v>
      </c>
      <c r="B84">
        <v>4.8648000000000007</v>
      </c>
    </row>
    <row r="85" spans="1:2" x14ac:dyDescent="0.2">
      <c r="A85">
        <v>85</v>
      </c>
      <c r="B85">
        <v>4.758799999999999</v>
      </c>
    </row>
    <row r="86" spans="1:2" x14ac:dyDescent="0.2">
      <c r="A86">
        <v>86</v>
      </c>
      <c r="B86">
        <v>4.5117999999999991</v>
      </c>
    </row>
    <row r="87" spans="1:2" x14ac:dyDescent="0.2">
      <c r="A87">
        <v>87</v>
      </c>
      <c r="B87">
        <v>4.0708000000000002</v>
      </c>
    </row>
    <row r="88" spans="1:2" x14ac:dyDescent="0.2">
      <c r="A88">
        <v>88</v>
      </c>
      <c r="B88">
        <v>4.5098000000000003</v>
      </c>
    </row>
    <row r="89" spans="1:2" x14ac:dyDescent="0.2">
      <c r="A89">
        <v>89</v>
      </c>
      <c r="B89">
        <v>3.9748000000000001</v>
      </c>
    </row>
    <row r="90" spans="1:2" x14ac:dyDescent="0.2">
      <c r="A90">
        <v>90</v>
      </c>
      <c r="B90">
        <v>5.0798000000000005</v>
      </c>
    </row>
    <row r="91" spans="1:2" x14ac:dyDescent="0.2">
      <c r="A91">
        <v>91</v>
      </c>
      <c r="B91">
        <v>4.5768000000000004</v>
      </c>
    </row>
    <row r="92" spans="1:2" x14ac:dyDescent="0.2">
      <c r="A92">
        <v>92</v>
      </c>
      <c r="B92">
        <v>4.5708000000000002</v>
      </c>
    </row>
    <row r="93" spans="1:2" x14ac:dyDescent="0.2">
      <c r="A93">
        <v>93</v>
      </c>
      <c r="B93">
        <v>5.0467999999999993</v>
      </c>
    </row>
    <row r="94" spans="1:2" x14ac:dyDescent="0.2">
      <c r="A94">
        <v>94</v>
      </c>
      <c r="B94">
        <v>4.5297999999999998</v>
      </c>
    </row>
    <row r="95" spans="1:2" x14ac:dyDescent="0.2">
      <c r="A95">
        <v>95</v>
      </c>
      <c r="B95">
        <v>4.7888000000000002</v>
      </c>
    </row>
    <row r="96" spans="1:2" x14ac:dyDescent="0.2">
      <c r="A96">
        <v>96</v>
      </c>
      <c r="B96">
        <v>4.6408000000000005</v>
      </c>
    </row>
    <row r="97" spans="1:2" x14ac:dyDescent="0.2">
      <c r="A97">
        <v>97</v>
      </c>
      <c r="B97">
        <v>5.0488</v>
      </c>
    </row>
    <row r="98" spans="1:2" x14ac:dyDescent="0.2">
      <c r="A98">
        <v>98</v>
      </c>
      <c r="B98">
        <v>5.3387999999999991</v>
      </c>
    </row>
    <row r="99" spans="1:2" x14ac:dyDescent="0.2">
      <c r="A99">
        <v>99</v>
      </c>
      <c r="B99">
        <v>4.8458000000000006</v>
      </c>
    </row>
    <row r="100" spans="1:2" x14ac:dyDescent="0.2">
      <c r="A100">
        <v>100</v>
      </c>
      <c r="B100">
        <v>5.2408000000000001</v>
      </c>
    </row>
    <row r="101" spans="1:2" x14ac:dyDescent="0.2">
      <c r="A101">
        <v>101</v>
      </c>
      <c r="B101">
        <v>5.0877999999999997</v>
      </c>
    </row>
    <row r="102" spans="1:2" x14ac:dyDescent="0.2">
      <c r="A102">
        <v>102</v>
      </c>
      <c r="B102">
        <v>5.5228000000000002</v>
      </c>
    </row>
    <row r="103" spans="1:2" x14ac:dyDescent="0.2">
      <c r="A103">
        <v>103</v>
      </c>
      <c r="B103">
        <v>5.1218000000000004</v>
      </c>
    </row>
    <row r="104" spans="1:2" x14ac:dyDescent="0.2">
      <c r="A104">
        <v>104</v>
      </c>
      <c r="B104">
        <v>5.2487999999999992</v>
      </c>
    </row>
    <row r="105" spans="1:2" x14ac:dyDescent="0.2">
      <c r="A105">
        <v>105</v>
      </c>
      <c r="B105">
        <v>4.7707999999999995</v>
      </c>
    </row>
    <row r="106" spans="1:2" x14ac:dyDescent="0.2">
      <c r="A106">
        <v>106</v>
      </c>
      <c r="B106">
        <v>5.5427999999999997</v>
      </c>
    </row>
    <row r="107" spans="1:2" x14ac:dyDescent="0.2">
      <c r="A107">
        <v>107</v>
      </c>
      <c r="B107">
        <v>4.6877999999999993</v>
      </c>
    </row>
    <row r="108" spans="1:2" x14ac:dyDescent="0.2">
      <c r="A108">
        <v>108</v>
      </c>
      <c r="B108">
        <v>5.6288</v>
      </c>
    </row>
    <row r="109" spans="1:2" x14ac:dyDescent="0.2">
      <c r="A109">
        <v>109</v>
      </c>
      <c r="B109">
        <v>5.0988000000000007</v>
      </c>
    </row>
    <row r="110" spans="1:2" x14ac:dyDescent="0.2">
      <c r="A110">
        <v>110</v>
      </c>
      <c r="B110">
        <v>4.6918000000000006</v>
      </c>
    </row>
    <row r="111" spans="1:2" x14ac:dyDescent="0.2">
      <c r="A111">
        <v>111</v>
      </c>
      <c r="B111">
        <v>5.6297999999999995</v>
      </c>
    </row>
    <row r="112" spans="1:2" x14ac:dyDescent="0.2">
      <c r="A112">
        <v>112</v>
      </c>
      <c r="B112">
        <v>5.1028000000000002</v>
      </c>
    </row>
    <row r="113" spans="1:2" x14ac:dyDescent="0.2">
      <c r="A113">
        <v>113</v>
      </c>
      <c r="B113">
        <v>5.1687999999999992</v>
      </c>
    </row>
    <row r="114" spans="1:2" x14ac:dyDescent="0.2">
      <c r="A114">
        <v>114</v>
      </c>
      <c r="B114">
        <v>5.2877999999999989</v>
      </c>
    </row>
    <row r="115" spans="1:2" x14ac:dyDescent="0.2">
      <c r="A115">
        <v>115</v>
      </c>
      <c r="B115">
        <v>5.0297999999999998</v>
      </c>
    </row>
    <row r="116" spans="1:2" x14ac:dyDescent="0.2">
      <c r="A116">
        <v>116</v>
      </c>
      <c r="B116">
        <v>4.3528000000000002</v>
      </c>
    </row>
    <row r="117" spans="1:2" x14ac:dyDescent="0.2">
      <c r="A117">
        <v>117</v>
      </c>
      <c r="B117">
        <v>4.7027999999999999</v>
      </c>
    </row>
    <row r="118" spans="1:2" x14ac:dyDescent="0.2">
      <c r="A118">
        <v>118</v>
      </c>
      <c r="B118">
        <v>4.4507999999999992</v>
      </c>
    </row>
    <row r="119" spans="1:2" x14ac:dyDescent="0.2">
      <c r="A119">
        <v>119</v>
      </c>
      <c r="B119">
        <v>5.8667999999999996</v>
      </c>
    </row>
    <row r="120" spans="1:2" x14ac:dyDescent="0.2">
      <c r="A120">
        <v>120</v>
      </c>
      <c r="B120">
        <v>5.226799999999999</v>
      </c>
    </row>
    <row r="121" spans="1:2" x14ac:dyDescent="0.2">
      <c r="A121">
        <v>121</v>
      </c>
      <c r="B121">
        <v>4.992799999999999</v>
      </c>
    </row>
    <row r="122" spans="1:2" x14ac:dyDescent="0.2">
      <c r="A122">
        <v>122</v>
      </c>
      <c r="B122">
        <v>5.0717999999999996</v>
      </c>
    </row>
    <row r="123" spans="1:2" x14ac:dyDescent="0.2">
      <c r="A123">
        <v>123</v>
      </c>
      <c r="B123">
        <v>4.9328000000000003</v>
      </c>
    </row>
    <row r="124" spans="1:2" x14ac:dyDescent="0.2">
      <c r="A124">
        <v>124</v>
      </c>
      <c r="B124">
        <v>5.3247999999999998</v>
      </c>
    </row>
    <row r="125" spans="1:2" x14ac:dyDescent="0.2">
      <c r="A125">
        <v>125</v>
      </c>
      <c r="B125">
        <v>4.6257999999999999</v>
      </c>
    </row>
    <row r="126" spans="1:2" x14ac:dyDescent="0.2">
      <c r="A126">
        <v>126</v>
      </c>
      <c r="B126">
        <v>5.5708000000000002</v>
      </c>
    </row>
    <row r="127" spans="1:2" x14ac:dyDescent="0.2">
      <c r="A127">
        <v>127</v>
      </c>
      <c r="B127">
        <v>5.9578000000000007</v>
      </c>
    </row>
    <row r="128" spans="1:2" x14ac:dyDescent="0.2">
      <c r="A128">
        <v>128</v>
      </c>
      <c r="B128">
        <v>5.2888000000000002</v>
      </c>
    </row>
    <row r="129" spans="1:2" x14ac:dyDescent="0.2">
      <c r="A129">
        <v>129</v>
      </c>
      <c r="B129">
        <v>5.7308000000000003</v>
      </c>
    </row>
    <row r="130" spans="1:2" x14ac:dyDescent="0.2">
      <c r="A130">
        <v>130</v>
      </c>
      <c r="B130">
        <v>6.0327999999999999</v>
      </c>
    </row>
    <row r="131" spans="1:2" x14ac:dyDescent="0.2">
      <c r="A131">
        <v>131</v>
      </c>
      <c r="B131">
        <v>5.4847999999999999</v>
      </c>
    </row>
    <row r="132" spans="1:2" x14ac:dyDescent="0.2">
      <c r="A132">
        <v>132</v>
      </c>
      <c r="B132">
        <v>5.0597999999999992</v>
      </c>
    </row>
    <row r="133" spans="1:2" x14ac:dyDescent="0.2">
      <c r="A133">
        <v>133</v>
      </c>
      <c r="B133">
        <v>5.6188000000000002</v>
      </c>
    </row>
    <row r="134" spans="1:2" x14ac:dyDescent="0.2">
      <c r="A134">
        <v>134</v>
      </c>
      <c r="B134">
        <v>5.1738</v>
      </c>
    </row>
    <row r="135" spans="1:2" x14ac:dyDescent="0.2">
      <c r="A135">
        <v>135</v>
      </c>
      <c r="B135">
        <v>5.819799999999999</v>
      </c>
    </row>
    <row r="136" spans="1:2" x14ac:dyDescent="0.2">
      <c r="A136">
        <v>136</v>
      </c>
      <c r="B136">
        <v>4.976799999999999</v>
      </c>
    </row>
    <row r="137" spans="1:2" x14ac:dyDescent="0.2">
      <c r="A137">
        <v>137</v>
      </c>
      <c r="B137">
        <v>5.6977999999999991</v>
      </c>
    </row>
    <row r="138" spans="1:2" x14ac:dyDescent="0.2">
      <c r="A138">
        <v>138</v>
      </c>
      <c r="B138">
        <v>5.5068000000000001</v>
      </c>
    </row>
    <row r="139" spans="1:2" x14ac:dyDescent="0.2">
      <c r="A139">
        <v>139</v>
      </c>
      <c r="B139">
        <v>5.8298000000000005</v>
      </c>
    </row>
    <row r="140" spans="1:2" x14ac:dyDescent="0.2">
      <c r="A140">
        <v>140</v>
      </c>
      <c r="B140">
        <v>5.851799999999999</v>
      </c>
    </row>
    <row r="141" spans="1:2" x14ac:dyDescent="0.2">
      <c r="A141">
        <v>141</v>
      </c>
      <c r="B141">
        <v>5.8498000000000001</v>
      </c>
    </row>
    <row r="142" spans="1:2" x14ac:dyDescent="0.2">
      <c r="A142">
        <v>142</v>
      </c>
      <c r="B142">
        <v>5.1028000000000002</v>
      </c>
    </row>
    <row r="143" spans="1:2" x14ac:dyDescent="0.2">
      <c r="A143">
        <v>143</v>
      </c>
      <c r="B143">
        <v>5.9968000000000004</v>
      </c>
    </row>
    <row r="144" spans="1:2" x14ac:dyDescent="0.2">
      <c r="A144">
        <v>144</v>
      </c>
      <c r="B144">
        <v>5.4808000000000003</v>
      </c>
    </row>
    <row r="145" spans="1:2" x14ac:dyDescent="0.2">
      <c r="A145">
        <v>145</v>
      </c>
      <c r="B145">
        <v>6.4947999999999997</v>
      </c>
    </row>
    <row r="146" spans="1:2" x14ac:dyDescent="0.2">
      <c r="A146">
        <v>146</v>
      </c>
      <c r="B146">
        <v>5.6037999999999997</v>
      </c>
    </row>
    <row r="147" spans="1:2" x14ac:dyDescent="0.2">
      <c r="A147">
        <v>147</v>
      </c>
      <c r="B147">
        <v>5.4957999999999991</v>
      </c>
    </row>
    <row r="148" spans="1:2" x14ac:dyDescent="0.2">
      <c r="A148">
        <v>148</v>
      </c>
      <c r="B148">
        <v>5.5007999999999999</v>
      </c>
    </row>
    <row r="149" spans="1:2" x14ac:dyDescent="0.2">
      <c r="A149">
        <v>149</v>
      </c>
      <c r="B149">
        <v>5.7238000000000007</v>
      </c>
    </row>
    <row r="150" spans="1:2" x14ac:dyDescent="0.2">
      <c r="A150">
        <v>150</v>
      </c>
      <c r="B150">
        <v>5.5047999999999995</v>
      </c>
    </row>
    <row r="151" spans="1:2" x14ac:dyDescent="0.2">
      <c r="A151">
        <v>151</v>
      </c>
      <c r="B151">
        <v>5.4337999999999997</v>
      </c>
    </row>
    <row r="152" spans="1:2" x14ac:dyDescent="0.2">
      <c r="A152">
        <v>152</v>
      </c>
      <c r="B152">
        <v>6.2758000000000003</v>
      </c>
    </row>
    <row r="153" spans="1:2" x14ac:dyDescent="0.2">
      <c r="A153">
        <v>153</v>
      </c>
      <c r="B153">
        <v>6.4347999999999992</v>
      </c>
    </row>
    <row r="154" spans="1:2" x14ac:dyDescent="0.2">
      <c r="A154">
        <v>154</v>
      </c>
      <c r="B154">
        <v>5.0727999999999991</v>
      </c>
    </row>
    <row r="155" spans="1:2" x14ac:dyDescent="0.2">
      <c r="A155">
        <v>155</v>
      </c>
      <c r="B155">
        <v>5.8808000000000007</v>
      </c>
    </row>
    <row r="156" spans="1:2" x14ac:dyDescent="0.2">
      <c r="A156">
        <v>156</v>
      </c>
      <c r="B156">
        <v>6.2187999999999999</v>
      </c>
    </row>
    <row r="157" spans="1:2" x14ac:dyDescent="0.2">
      <c r="A157">
        <v>157</v>
      </c>
      <c r="B157">
        <v>4.7837999999999994</v>
      </c>
    </row>
    <row r="158" spans="1:2" x14ac:dyDescent="0.2">
      <c r="A158">
        <v>158</v>
      </c>
      <c r="B158">
        <v>6.5427999999999997</v>
      </c>
    </row>
    <row r="159" spans="1:2" x14ac:dyDescent="0.2">
      <c r="A159">
        <v>159</v>
      </c>
      <c r="B159">
        <v>5.6318000000000001</v>
      </c>
    </row>
    <row r="160" spans="1:2" x14ac:dyDescent="0.2">
      <c r="A160">
        <v>160</v>
      </c>
      <c r="B160">
        <v>5.1387999999999998</v>
      </c>
    </row>
    <row r="161" spans="1:2" x14ac:dyDescent="0.2">
      <c r="A161">
        <v>161</v>
      </c>
      <c r="B161">
        <v>6.4027999999999992</v>
      </c>
    </row>
    <row r="162" spans="1:2" x14ac:dyDescent="0.2">
      <c r="A162">
        <v>162</v>
      </c>
      <c r="B162">
        <v>6.1937999999999995</v>
      </c>
    </row>
    <row r="163" spans="1:2" x14ac:dyDescent="0.2">
      <c r="A163">
        <v>163</v>
      </c>
      <c r="B163">
        <v>6.1527999999999992</v>
      </c>
    </row>
    <row r="164" spans="1:2" x14ac:dyDescent="0.2">
      <c r="A164">
        <v>164</v>
      </c>
      <c r="B164">
        <v>5.7628000000000004</v>
      </c>
    </row>
    <row r="165" spans="1:2" x14ac:dyDescent="0.2">
      <c r="A165">
        <v>165</v>
      </c>
      <c r="B165">
        <v>6.4117999999999995</v>
      </c>
    </row>
    <row r="166" spans="1:2" x14ac:dyDescent="0.2">
      <c r="A166">
        <v>166</v>
      </c>
      <c r="B166">
        <v>5.5947999999999993</v>
      </c>
    </row>
    <row r="167" spans="1:2" x14ac:dyDescent="0.2">
      <c r="A167">
        <v>167</v>
      </c>
      <c r="B167">
        <v>6.3948</v>
      </c>
    </row>
    <row r="168" spans="1:2" x14ac:dyDescent="0.2">
      <c r="A168">
        <v>168</v>
      </c>
      <c r="B168">
        <v>6.3187999999999995</v>
      </c>
    </row>
    <row r="169" spans="1:2" x14ac:dyDescent="0.2">
      <c r="A169">
        <v>169</v>
      </c>
      <c r="B169">
        <v>6.1858000000000004</v>
      </c>
    </row>
    <row r="170" spans="1:2" x14ac:dyDescent="0.2">
      <c r="A170">
        <v>170</v>
      </c>
      <c r="B170">
        <v>6.0128000000000004</v>
      </c>
    </row>
    <row r="171" spans="1:2" x14ac:dyDescent="0.2">
      <c r="A171">
        <v>171</v>
      </c>
      <c r="B171">
        <v>6.1918000000000006</v>
      </c>
    </row>
    <row r="172" spans="1:2" x14ac:dyDescent="0.2">
      <c r="A172">
        <v>172</v>
      </c>
      <c r="B172">
        <v>6.7248000000000001</v>
      </c>
    </row>
    <row r="173" spans="1:2" x14ac:dyDescent="0.2">
      <c r="A173">
        <v>173</v>
      </c>
      <c r="B173">
        <v>7.4017999999999997</v>
      </c>
    </row>
    <row r="174" spans="1:2" x14ac:dyDescent="0.2">
      <c r="A174">
        <v>174</v>
      </c>
      <c r="B174">
        <v>5.6417999999999999</v>
      </c>
    </row>
    <row r="175" spans="1:2" x14ac:dyDescent="0.2">
      <c r="A175">
        <v>175</v>
      </c>
      <c r="B175">
        <v>5.7097999999999995</v>
      </c>
    </row>
    <row r="176" spans="1:2" x14ac:dyDescent="0.2">
      <c r="A176">
        <v>176</v>
      </c>
      <c r="B176">
        <v>6.6148000000000007</v>
      </c>
    </row>
    <row r="177" spans="1:2" x14ac:dyDescent="0.2">
      <c r="A177">
        <v>177</v>
      </c>
      <c r="B177">
        <v>5.8697999999999997</v>
      </c>
    </row>
    <row r="178" spans="1:2" x14ac:dyDescent="0.2">
      <c r="A178">
        <v>178</v>
      </c>
      <c r="B178">
        <v>6.5218000000000007</v>
      </c>
    </row>
    <row r="179" spans="1:2" x14ac:dyDescent="0.2">
      <c r="A179">
        <v>179</v>
      </c>
      <c r="B179">
        <v>6.4558</v>
      </c>
    </row>
    <row r="180" spans="1:2" x14ac:dyDescent="0.2">
      <c r="A180">
        <v>180</v>
      </c>
      <c r="B180">
        <v>5.9678000000000004</v>
      </c>
    </row>
    <row r="181" spans="1:2" x14ac:dyDescent="0.2">
      <c r="A181">
        <v>181</v>
      </c>
      <c r="B181">
        <v>6.0887999999999991</v>
      </c>
    </row>
    <row r="182" spans="1:2" x14ac:dyDescent="0.2">
      <c r="A182">
        <v>182</v>
      </c>
      <c r="B182">
        <v>6.5358000000000001</v>
      </c>
    </row>
    <row r="183" spans="1:2" x14ac:dyDescent="0.2">
      <c r="A183">
        <v>183</v>
      </c>
      <c r="B183">
        <v>5.6747999999999994</v>
      </c>
    </row>
    <row r="184" spans="1:2" x14ac:dyDescent="0.2">
      <c r="A184">
        <v>184</v>
      </c>
      <c r="B184">
        <v>6.6877999999999993</v>
      </c>
    </row>
    <row r="185" spans="1:2" x14ac:dyDescent="0.2">
      <c r="A185">
        <v>185</v>
      </c>
      <c r="B185">
        <v>6.1478000000000002</v>
      </c>
    </row>
    <row r="186" spans="1:2" x14ac:dyDescent="0.2">
      <c r="A186">
        <v>186</v>
      </c>
      <c r="B186">
        <v>6.4377999999999993</v>
      </c>
    </row>
    <row r="187" spans="1:2" x14ac:dyDescent="0.2">
      <c r="A187">
        <v>187</v>
      </c>
      <c r="B187">
        <v>6.5868000000000002</v>
      </c>
    </row>
    <row r="188" spans="1:2" x14ac:dyDescent="0.2">
      <c r="A188">
        <v>188</v>
      </c>
      <c r="B188">
        <v>6.774799999999999</v>
      </c>
    </row>
    <row r="189" spans="1:2" x14ac:dyDescent="0.2">
      <c r="A189">
        <v>189</v>
      </c>
      <c r="B189">
        <v>6.5768000000000004</v>
      </c>
    </row>
    <row r="190" spans="1:2" x14ac:dyDescent="0.2">
      <c r="A190">
        <v>190</v>
      </c>
      <c r="B190">
        <v>6.3778000000000006</v>
      </c>
    </row>
    <row r="191" spans="1:2" x14ac:dyDescent="0.2">
      <c r="A191">
        <v>191</v>
      </c>
      <c r="B191">
        <v>6.9038000000000004</v>
      </c>
    </row>
    <row r="192" spans="1:2" x14ac:dyDescent="0.2">
      <c r="A192">
        <v>192</v>
      </c>
      <c r="B192">
        <v>5.8927999999999994</v>
      </c>
    </row>
    <row r="193" spans="1:2" x14ac:dyDescent="0.2">
      <c r="A193">
        <v>193</v>
      </c>
      <c r="B193">
        <v>6.4027999999999992</v>
      </c>
    </row>
    <row r="194" spans="1:2" x14ac:dyDescent="0.2">
      <c r="A194">
        <v>194</v>
      </c>
      <c r="B194">
        <v>6.4868000000000006</v>
      </c>
    </row>
    <row r="195" spans="1:2" x14ac:dyDescent="0.2">
      <c r="A195">
        <v>195</v>
      </c>
      <c r="B195">
        <v>6.9627999999999997</v>
      </c>
    </row>
    <row r="196" spans="1:2" x14ac:dyDescent="0.2">
      <c r="A196">
        <v>196</v>
      </c>
      <c r="B196">
        <v>6.5297999999999998</v>
      </c>
    </row>
    <row r="197" spans="1:2" x14ac:dyDescent="0.2">
      <c r="A197">
        <v>197</v>
      </c>
      <c r="B197">
        <v>6.2988</v>
      </c>
    </row>
    <row r="198" spans="1:2" x14ac:dyDescent="0.2">
      <c r="A198">
        <v>198</v>
      </c>
      <c r="B198">
        <v>6.1877999999999993</v>
      </c>
    </row>
    <row r="199" spans="1:2" x14ac:dyDescent="0.2">
      <c r="A199">
        <v>199</v>
      </c>
      <c r="B199">
        <v>6.5478000000000005</v>
      </c>
    </row>
    <row r="200" spans="1:2" x14ac:dyDescent="0.2">
      <c r="A200">
        <v>200</v>
      </c>
      <c r="B200">
        <v>7.1167999999999996</v>
      </c>
    </row>
    <row r="201" spans="1:2" x14ac:dyDescent="0.2">
      <c r="A201">
        <v>201</v>
      </c>
      <c r="B201">
        <v>6.3528000000000002</v>
      </c>
    </row>
    <row r="202" spans="1:2" x14ac:dyDescent="0.2">
      <c r="A202">
        <v>202</v>
      </c>
      <c r="B202">
        <v>6.178799999999999</v>
      </c>
    </row>
    <row r="203" spans="1:2" x14ac:dyDescent="0.2">
      <c r="A203">
        <v>203</v>
      </c>
      <c r="B203">
        <v>6.5007999999999999</v>
      </c>
    </row>
    <row r="204" spans="1:2" x14ac:dyDescent="0.2">
      <c r="A204">
        <v>204</v>
      </c>
      <c r="B204">
        <v>6.4898000000000007</v>
      </c>
    </row>
    <row r="205" spans="1:2" x14ac:dyDescent="0.2">
      <c r="A205">
        <v>205</v>
      </c>
      <c r="B205">
        <v>6.2118000000000002</v>
      </c>
    </row>
    <row r="206" spans="1:2" x14ac:dyDescent="0.2">
      <c r="A206">
        <v>206</v>
      </c>
      <c r="B206">
        <v>6.5267999999999997</v>
      </c>
    </row>
    <row r="207" spans="1:2" x14ac:dyDescent="0.2">
      <c r="A207">
        <v>207</v>
      </c>
      <c r="B207">
        <v>7.3588000000000005</v>
      </c>
    </row>
    <row r="208" spans="1:2" x14ac:dyDescent="0.2">
      <c r="A208">
        <v>208</v>
      </c>
      <c r="B208">
        <v>6.9537999999999993</v>
      </c>
    </row>
    <row r="209" spans="1:2" x14ac:dyDescent="0.2">
      <c r="A209">
        <v>209</v>
      </c>
      <c r="B209">
        <v>6.3938000000000006</v>
      </c>
    </row>
    <row r="210" spans="1:2" x14ac:dyDescent="0.2">
      <c r="A210">
        <v>210</v>
      </c>
      <c r="B210">
        <v>6.867799999999999</v>
      </c>
    </row>
    <row r="211" spans="1:2" x14ac:dyDescent="0.2">
      <c r="A211">
        <v>211</v>
      </c>
      <c r="B211">
        <v>6.5868000000000002</v>
      </c>
    </row>
    <row r="212" spans="1:2" x14ac:dyDescent="0.2">
      <c r="A212">
        <v>212</v>
      </c>
      <c r="B212">
        <v>7.1807999999999996</v>
      </c>
    </row>
    <row r="213" spans="1:2" x14ac:dyDescent="0.2">
      <c r="A213">
        <v>213</v>
      </c>
      <c r="B213">
        <v>6.8767999999999994</v>
      </c>
    </row>
    <row r="214" spans="1:2" x14ac:dyDescent="0.2">
      <c r="A214">
        <v>214</v>
      </c>
      <c r="B214">
        <v>7.0748000000000015</v>
      </c>
    </row>
    <row r="215" spans="1:2" x14ac:dyDescent="0.2">
      <c r="A215">
        <v>215</v>
      </c>
      <c r="B215">
        <v>6.444799999999999</v>
      </c>
    </row>
    <row r="216" spans="1:2" x14ac:dyDescent="0.2">
      <c r="A216">
        <v>216</v>
      </c>
      <c r="B216">
        <v>6.3577999999999992</v>
      </c>
    </row>
    <row r="217" spans="1:2" x14ac:dyDescent="0.2">
      <c r="A217">
        <v>217</v>
      </c>
      <c r="B217">
        <v>6.3157999999999994</v>
      </c>
    </row>
    <row r="218" spans="1:2" x14ac:dyDescent="0.2">
      <c r="A218">
        <v>218</v>
      </c>
      <c r="B218">
        <v>5.9957999999999991</v>
      </c>
    </row>
    <row r="219" spans="1:2" x14ac:dyDescent="0.2">
      <c r="A219">
        <v>219</v>
      </c>
      <c r="B219">
        <v>6.9698000000000011</v>
      </c>
    </row>
    <row r="220" spans="1:2" x14ac:dyDescent="0.2">
      <c r="A220">
        <v>220</v>
      </c>
      <c r="B220">
        <v>6.8477999999999994</v>
      </c>
    </row>
    <row r="221" spans="1:2" x14ac:dyDescent="0.2">
      <c r="A221">
        <v>221</v>
      </c>
      <c r="B221">
        <v>6.4938000000000002</v>
      </c>
    </row>
    <row r="222" spans="1:2" x14ac:dyDescent="0.2">
      <c r="A222">
        <v>222</v>
      </c>
      <c r="B222">
        <v>6.0738000000000003</v>
      </c>
    </row>
    <row r="223" spans="1:2" x14ac:dyDescent="0.2">
      <c r="A223">
        <v>223</v>
      </c>
      <c r="B223">
        <v>6.6837999999999997</v>
      </c>
    </row>
    <row r="224" spans="1:2" x14ac:dyDescent="0.2">
      <c r="A224">
        <v>224</v>
      </c>
      <c r="B224">
        <v>7.6788000000000007</v>
      </c>
    </row>
    <row r="225" spans="1:2" x14ac:dyDescent="0.2">
      <c r="A225">
        <v>225</v>
      </c>
      <c r="B225">
        <v>6.8377999999999997</v>
      </c>
    </row>
    <row r="226" spans="1:2" x14ac:dyDescent="0.2">
      <c r="A226">
        <v>226</v>
      </c>
      <c r="B226">
        <v>6.8127999999999993</v>
      </c>
    </row>
    <row r="227" spans="1:2" x14ac:dyDescent="0.2">
      <c r="A227">
        <v>227</v>
      </c>
      <c r="B227">
        <v>6.9928000000000008</v>
      </c>
    </row>
    <row r="228" spans="1:2" x14ac:dyDescent="0.2">
      <c r="A228">
        <v>228</v>
      </c>
      <c r="B228">
        <v>6.8628</v>
      </c>
    </row>
    <row r="229" spans="1:2" x14ac:dyDescent="0.2">
      <c r="A229">
        <v>229</v>
      </c>
      <c r="B229">
        <v>5.9407999999999994</v>
      </c>
    </row>
    <row r="230" spans="1:2" x14ac:dyDescent="0.2">
      <c r="A230">
        <v>230</v>
      </c>
      <c r="B230">
        <v>6.7737999999999996</v>
      </c>
    </row>
    <row r="231" spans="1:2" x14ac:dyDescent="0.2">
      <c r="A231">
        <v>231</v>
      </c>
      <c r="B231">
        <v>7.0117999999999991</v>
      </c>
    </row>
    <row r="232" spans="1:2" x14ac:dyDescent="0.2">
      <c r="A232">
        <v>232</v>
      </c>
      <c r="B232">
        <v>7.1077999999999992</v>
      </c>
    </row>
    <row r="233" spans="1:2" x14ac:dyDescent="0.2">
      <c r="A233">
        <v>233</v>
      </c>
      <c r="B233">
        <v>7.7688000000000006</v>
      </c>
    </row>
    <row r="234" spans="1:2" x14ac:dyDescent="0.2">
      <c r="A234">
        <v>234</v>
      </c>
      <c r="B234">
        <v>7.3328000000000007</v>
      </c>
    </row>
    <row r="235" spans="1:2" x14ac:dyDescent="0.2">
      <c r="A235">
        <v>235</v>
      </c>
      <c r="B235">
        <v>6.3148</v>
      </c>
    </row>
    <row r="236" spans="1:2" x14ac:dyDescent="0.2">
      <c r="A236">
        <v>236</v>
      </c>
      <c r="B236">
        <v>6.6387999999999998</v>
      </c>
    </row>
    <row r="237" spans="1:2" x14ac:dyDescent="0.2">
      <c r="A237">
        <v>237</v>
      </c>
      <c r="B237">
        <v>7.4868000000000006</v>
      </c>
    </row>
    <row r="238" spans="1:2" x14ac:dyDescent="0.2">
      <c r="A238">
        <v>238</v>
      </c>
      <c r="B238">
        <v>6.3308</v>
      </c>
    </row>
    <row r="239" spans="1:2" x14ac:dyDescent="0.2">
      <c r="A239">
        <v>239</v>
      </c>
      <c r="B239">
        <v>7.9228000000000005</v>
      </c>
    </row>
    <row r="240" spans="1:2" x14ac:dyDescent="0.2">
      <c r="A240">
        <v>240</v>
      </c>
      <c r="B240">
        <v>7.0278000000000009</v>
      </c>
    </row>
    <row r="241" spans="1:2" x14ac:dyDescent="0.2">
      <c r="A241">
        <v>241</v>
      </c>
      <c r="B241">
        <v>7.3167999999999989</v>
      </c>
    </row>
    <row r="242" spans="1:2" x14ac:dyDescent="0.2">
      <c r="A242">
        <v>242</v>
      </c>
      <c r="B242">
        <v>6.9507999999999992</v>
      </c>
    </row>
    <row r="243" spans="1:2" x14ac:dyDescent="0.2">
      <c r="A243">
        <v>243</v>
      </c>
      <c r="B243">
        <v>7.1487999999999996</v>
      </c>
    </row>
    <row r="244" spans="1:2" x14ac:dyDescent="0.2">
      <c r="A244">
        <v>244</v>
      </c>
      <c r="B244">
        <v>6.0977999999999994</v>
      </c>
    </row>
    <row r="245" spans="1:2" x14ac:dyDescent="0.2">
      <c r="A245">
        <v>245</v>
      </c>
      <c r="B245">
        <v>6.3277999999999999</v>
      </c>
    </row>
    <row r="246" spans="1:2" x14ac:dyDescent="0.2">
      <c r="A246">
        <v>246</v>
      </c>
      <c r="B246">
        <v>6.2677999999999994</v>
      </c>
    </row>
    <row r="247" spans="1:2" x14ac:dyDescent="0.2">
      <c r="A247">
        <v>247</v>
      </c>
      <c r="B247">
        <v>7.2617999999999991</v>
      </c>
    </row>
    <row r="248" spans="1:2" x14ac:dyDescent="0.2">
      <c r="A248">
        <v>248</v>
      </c>
      <c r="B248">
        <v>7.1788000000000007</v>
      </c>
    </row>
    <row r="249" spans="1:2" x14ac:dyDescent="0.2">
      <c r="A249">
        <v>249</v>
      </c>
      <c r="B249">
        <v>7.0817999999999994</v>
      </c>
    </row>
    <row r="250" spans="1:2" x14ac:dyDescent="0.2">
      <c r="A250">
        <v>250</v>
      </c>
      <c r="B250">
        <v>6.4377999999999993</v>
      </c>
    </row>
    <row r="251" spans="1:2" x14ac:dyDescent="0.2">
      <c r="A251">
        <v>251</v>
      </c>
      <c r="B251">
        <v>8.0688000000000013</v>
      </c>
    </row>
    <row r="252" spans="1:2" x14ac:dyDescent="0.2">
      <c r="A252">
        <v>252</v>
      </c>
      <c r="B252">
        <v>6.0188000000000006</v>
      </c>
    </row>
    <row r="253" spans="1:2" x14ac:dyDescent="0.2">
      <c r="A253">
        <v>253</v>
      </c>
      <c r="B253">
        <v>6.7457999999999991</v>
      </c>
    </row>
    <row r="254" spans="1:2" x14ac:dyDescent="0.2">
      <c r="A254">
        <v>254</v>
      </c>
      <c r="B254">
        <v>7.5018000000000011</v>
      </c>
    </row>
    <row r="255" spans="1:2" x14ac:dyDescent="0.2">
      <c r="A255">
        <v>255</v>
      </c>
      <c r="B255">
        <v>6.7897999999999996</v>
      </c>
    </row>
    <row r="256" spans="1:2" x14ac:dyDescent="0.2">
      <c r="A256">
        <v>256</v>
      </c>
      <c r="B256">
        <v>8.5927999999999987</v>
      </c>
    </row>
    <row r="257" spans="1:2" x14ac:dyDescent="0.2">
      <c r="A257">
        <v>257</v>
      </c>
      <c r="B257">
        <v>7.5667999999999989</v>
      </c>
    </row>
    <row r="258" spans="1:2" x14ac:dyDescent="0.2">
      <c r="A258">
        <v>258</v>
      </c>
      <c r="B258">
        <v>6.649799999999999</v>
      </c>
    </row>
    <row r="259" spans="1:2" x14ac:dyDescent="0.2">
      <c r="A259">
        <v>259</v>
      </c>
      <c r="B259">
        <v>7.3448000000000011</v>
      </c>
    </row>
    <row r="260" spans="1:2" x14ac:dyDescent="0.2">
      <c r="A260">
        <v>260</v>
      </c>
      <c r="B260">
        <v>7.1758000000000006</v>
      </c>
    </row>
    <row r="261" spans="1:2" x14ac:dyDescent="0.2">
      <c r="A261">
        <v>261</v>
      </c>
      <c r="B261">
        <v>7.0218000000000007</v>
      </c>
    </row>
    <row r="262" spans="1:2" x14ac:dyDescent="0.2">
      <c r="A262">
        <v>262</v>
      </c>
      <c r="B262">
        <v>7.2677999999999994</v>
      </c>
    </row>
    <row r="263" spans="1:2" x14ac:dyDescent="0.2">
      <c r="A263">
        <v>263</v>
      </c>
      <c r="B263">
        <v>7.9417999999999989</v>
      </c>
    </row>
    <row r="264" spans="1:2" x14ac:dyDescent="0.2">
      <c r="A264">
        <v>264</v>
      </c>
      <c r="B264">
        <v>6.8648000000000007</v>
      </c>
    </row>
    <row r="265" spans="1:2" x14ac:dyDescent="0.2">
      <c r="A265">
        <v>265</v>
      </c>
      <c r="B265">
        <v>6.3178000000000001</v>
      </c>
    </row>
    <row r="266" spans="1:2" x14ac:dyDescent="0.2">
      <c r="A266">
        <v>266</v>
      </c>
      <c r="B266">
        <v>6.6958000000000002</v>
      </c>
    </row>
    <row r="267" spans="1:2" x14ac:dyDescent="0.2">
      <c r="A267">
        <v>267</v>
      </c>
      <c r="B267">
        <v>6.6457999999999995</v>
      </c>
    </row>
    <row r="268" spans="1:2" x14ac:dyDescent="0.2">
      <c r="A268">
        <v>268</v>
      </c>
      <c r="B268">
        <v>7.4207999999999981</v>
      </c>
    </row>
    <row r="269" spans="1:2" x14ac:dyDescent="0.2">
      <c r="A269">
        <v>269</v>
      </c>
      <c r="B269">
        <v>7.0428000000000015</v>
      </c>
    </row>
    <row r="270" spans="1:2" x14ac:dyDescent="0.2">
      <c r="A270">
        <v>270</v>
      </c>
      <c r="B270">
        <v>6.6478000000000002</v>
      </c>
    </row>
    <row r="271" spans="1:2" x14ac:dyDescent="0.2">
      <c r="A271">
        <v>271</v>
      </c>
      <c r="B271">
        <v>7.2467999999999986</v>
      </c>
    </row>
    <row r="272" spans="1:2" x14ac:dyDescent="0.2">
      <c r="A272">
        <v>272</v>
      </c>
      <c r="B272">
        <v>6.3178000000000001</v>
      </c>
    </row>
    <row r="273" spans="1:2" x14ac:dyDescent="0.2">
      <c r="A273">
        <v>273</v>
      </c>
      <c r="B273">
        <v>6.9808000000000003</v>
      </c>
    </row>
    <row r="274" spans="1:2" x14ac:dyDescent="0.2">
      <c r="A274">
        <v>274</v>
      </c>
      <c r="B274">
        <v>7.5557999999999996</v>
      </c>
    </row>
    <row r="275" spans="1:2" x14ac:dyDescent="0.2">
      <c r="A275">
        <v>275</v>
      </c>
      <c r="B275">
        <v>6.9687999999999999</v>
      </c>
    </row>
    <row r="276" spans="1:2" x14ac:dyDescent="0.2">
      <c r="A276">
        <v>276</v>
      </c>
      <c r="B276">
        <v>8.0688000000000013</v>
      </c>
    </row>
    <row r="277" spans="1:2" x14ac:dyDescent="0.2">
      <c r="A277">
        <v>277</v>
      </c>
      <c r="B277">
        <v>7.6547999999999998</v>
      </c>
    </row>
    <row r="278" spans="1:2" x14ac:dyDescent="0.2">
      <c r="A278">
        <v>278</v>
      </c>
      <c r="B278">
        <v>7.4217999999999993</v>
      </c>
    </row>
    <row r="279" spans="1:2" x14ac:dyDescent="0.2">
      <c r="A279">
        <v>279</v>
      </c>
      <c r="B279">
        <v>7.1898</v>
      </c>
    </row>
    <row r="280" spans="1:2" x14ac:dyDescent="0.2">
      <c r="A280">
        <v>280</v>
      </c>
      <c r="B280">
        <v>7.8977999999999984</v>
      </c>
    </row>
    <row r="281" spans="1:2" x14ac:dyDescent="0.2">
      <c r="A281">
        <v>281</v>
      </c>
      <c r="B281">
        <v>6.7698</v>
      </c>
    </row>
    <row r="282" spans="1:2" x14ac:dyDescent="0.2">
      <c r="A282">
        <v>282</v>
      </c>
      <c r="B282">
        <v>7.4718</v>
      </c>
    </row>
    <row r="283" spans="1:2" x14ac:dyDescent="0.2">
      <c r="A283">
        <v>283</v>
      </c>
      <c r="B283">
        <v>6.2918000000000003</v>
      </c>
    </row>
    <row r="284" spans="1:2" x14ac:dyDescent="0.2">
      <c r="A284">
        <v>284</v>
      </c>
      <c r="B284">
        <v>7.133799999999999</v>
      </c>
    </row>
    <row r="285" spans="1:2" x14ac:dyDescent="0.2">
      <c r="A285">
        <v>285</v>
      </c>
      <c r="B285">
        <v>6.6798000000000002</v>
      </c>
    </row>
    <row r="286" spans="1:2" x14ac:dyDescent="0.2">
      <c r="A286">
        <v>286</v>
      </c>
      <c r="B286">
        <v>7.8277999999999981</v>
      </c>
    </row>
    <row r="287" spans="1:2" x14ac:dyDescent="0.2">
      <c r="A287">
        <v>287</v>
      </c>
      <c r="B287">
        <v>6.9198000000000004</v>
      </c>
    </row>
    <row r="288" spans="1:2" x14ac:dyDescent="0.2">
      <c r="A288">
        <v>288</v>
      </c>
      <c r="B288">
        <v>7.8968000000000007</v>
      </c>
    </row>
    <row r="289" spans="1:2" x14ac:dyDescent="0.2">
      <c r="A289">
        <v>289</v>
      </c>
      <c r="B289">
        <v>7.0177999999999994</v>
      </c>
    </row>
    <row r="290" spans="1:2" x14ac:dyDescent="0.2">
      <c r="A290">
        <v>290</v>
      </c>
      <c r="B290">
        <v>8.3648000000000007</v>
      </c>
    </row>
    <row r="291" spans="1:2" x14ac:dyDescent="0.2">
      <c r="A291">
        <v>291</v>
      </c>
      <c r="B291">
        <v>7.2838000000000012</v>
      </c>
    </row>
    <row r="292" spans="1:2" x14ac:dyDescent="0.2">
      <c r="A292">
        <v>292</v>
      </c>
      <c r="B292">
        <v>7.5398000000000014</v>
      </c>
    </row>
    <row r="293" spans="1:2" x14ac:dyDescent="0.2">
      <c r="A293">
        <v>293</v>
      </c>
      <c r="B293">
        <v>7.2578000000000014</v>
      </c>
    </row>
    <row r="294" spans="1:2" x14ac:dyDescent="0.2">
      <c r="A294">
        <v>294</v>
      </c>
      <c r="B294">
        <v>7.9108000000000001</v>
      </c>
    </row>
    <row r="295" spans="1:2" x14ac:dyDescent="0.2">
      <c r="A295">
        <v>295</v>
      </c>
      <c r="B295">
        <v>7.3388000000000009</v>
      </c>
    </row>
    <row r="296" spans="1:2" x14ac:dyDescent="0.2">
      <c r="A296">
        <v>296</v>
      </c>
      <c r="B296">
        <v>7.1627999999999989</v>
      </c>
    </row>
    <row r="297" spans="1:2" x14ac:dyDescent="0.2">
      <c r="A297">
        <v>297</v>
      </c>
      <c r="B297">
        <v>7.0497999999999994</v>
      </c>
    </row>
    <row r="298" spans="1:2" x14ac:dyDescent="0.2">
      <c r="A298">
        <v>298</v>
      </c>
      <c r="B298">
        <v>7.5057999999999989</v>
      </c>
    </row>
    <row r="299" spans="1:2" x14ac:dyDescent="0.2">
      <c r="A299">
        <v>299</v>
      </c>
      <c r="B299">
        <v>7.444799999999999</v>
      </c>
    </row>
    <row r="300" spans="1:2" x14ac:dyDescent="0.2">
      <c r="A300">
        <v>300</v>
      </c>
      <c r="B300">
        <v>7.9498000000000015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7C18-8FAD-482C-8723-A7E114BDB597}">
  <dimension ref="A1:X62"/>
  <sheetViews>
    <sheetView topLeftCell="A42" workbookViewId="0">
      <selection activeCell="H61" sqref="H61"/>
    </sheetView>
  </sheetViews>
  <sheetFormatPr defaultRowHeight="14.25" x14ac:dyDescent="0.2"/>
  <sheetData>
    <row r="1" spans="1:24" x14ac:dyDescent="0.2">
      <c r="A1" t="s">
        <v>6</v>
      </c>
      <c r="B1" t="s">
        <v>0</v>
      </c>
      <c r="C1" t="s">
        <v>7</v>
      </c>
      <c r="E1" t="s">
        <v>6</v>
      </c>
      <c r="F1" t="s">
        <v>1</v>
      </c>
      <c r="G1" t="s">
        <v>8</v>
      </c>
      <c r="I1" t="s">
        <v>6</v>
      </c>
      <c r="J1" t="s">
        <v>2</v>
      </c>
      <c r="K1" t="s">
        <v>9</v>
      </c>
      <c r="M1" t="s">
        <v>6</v>
      </c>
      <c r="N1" t="s">
        <v>3</v>
      </c>
      <c r="O1" t="s">
        <v>10</v>
      </c>
      <c r="Q1" t="s">
        <v>6</v>
      </c>
      <c r="R1" t="s">
        <v>4</v>
      </c>
      <c r="S1" t="s">
        <v>11</v>
      </c>
      <c r="U1" t="s">
        <v>6</v>
      </c>
      <c r="V1" t="s">
        <v>5</v>
      </c>
      <c r="W1" t="s">
        <v>12</v>
      </c>
    </row>
    <row r="2" spans="1:24" x14ac:dyDescent="0.2">
      <c r="A2">
        <v>5.1327400000000001</v>
      </c>
      <c r="B2">
        <v>7.7713400000000004</v>
      </c>
      <c r="C2" s="1">
        <v>7.7356797383605898</v>
      </c>
      <c r="D2" s="1">
        <f>ABS(B2-C2)/MAX(B2:B56)</f>
        <v>3.9935786995106736E-3</v>
      </c>
      <c r="E2">
        <v>5.2008299999999998</v>
      </c>
      <c r="F2">
        <v>1.5317499999999999</v>
      </c>
      <c r="G2" s="1">
        <v>1.4089415519800199</v>
      </c>
      <c r="H2" s="1">
        <f>ABS(F2-G2)/MAX(F2:F56)</f>
        <v>5.8610552046684784E-2</v>
      </c>
      <c r="I2">
        <v>4.9915099999999999</v>
      </c>
      <c r="J2">
        <v>8.6372599999999994E-2</v>
      </c>
      <c r="K2" s="1">
        <v>0.10748330874565699</v>
      </c>
      <c r="L2" s="1">
        <f>ABS(J2-K2)/MAX(J2:J56)</f>
        <v>3.5033985219601444E-3</v>
      </c>
      <c r="M2">
        <v>5.13537</v>
      </c>
      <c r="N2">
        <v>8.8543399999999994E-2</v>
      </c>
      <c r="O2" s="1">
        <v>0.105609206297039</v>
      </c>
      <c r="P2" s="1">
        <f>ABS(N2-O2)/MAX(N2:N56)</f>
        <v>4.0913519396237059E-2</v>
      </c>
      <c r="Q2">
        <v>5.11036</v>
      </c>
      <c r="R2">
        <v>4.7984800000000001E-2</v>
      </c>
      <c r="S2" s="1">
        <v>0.225489531252761</v>
      </c>
      <c r="T2" s="1">
        <f>ABS(R2-S2)/MAX(R2:R56)</f>
        <v>0.29452567075854685</v>
      </c>
      <c r="U2">
        <v>5.1277699999999999</v>
      </c>
      <c r="V2">
        <v>2.23407</v>
      </c>
      <c r="W2" s="1">
        <v>3.0127061015527001</v>
      </c>
      <c r="X2" s="1">
        <f>ABS(V2-W2)/MAX(V2:V56)</f>
        <v>0.13090501194544479</v>
      </c>
    </row>
    <row r="3" spans="1:24" x14ac:dyDescent="0.2">
      <c r="A3">
        <v>5.3982299999999999</v>
      </c>
      <c r="B3">
        <v>7.2713700000000001</v>
      </c>
      <c r="C3" s="1">
        <v>7.7381283577369304</v>
      </c>
      <c r="D3" s="1">
        <f t="shared" ref="D3:D56" si="0">ABS(B3-C3)/MAX(B3:B57)</f>
        <v>5.2272085217028058E-2</v>
      </c>
      <c r="E3">
        <v>5.4232899999999997</v>
      </c>
      <c r="F3">
        <v>1.1953400000000001</v>
      </c>
      <c r="G3" s="1">
        <v>1.40222745743502</v>
      </c>
      <c r="H3" s="1">
        <f t="shared" ref="H3:H58" si="1">ABS(F3-G3)/MAX(F3:F57)</f>
        <v>9.8737410066681575E-2</v>
      </c>
      <c r="I3">
        <v>5.4668900000000002</v>
      </c>
      <c r="J3">
        <v>1.8361800000000001E-2</v>
      </c>
      <c r="K3" s="1">
        <v>0.108330410816088</v>
      </c>
      <c r="L3" s="1">
        <f t="shared" ref="L3:L51" si="2">ABS(J3-K3)/MAX(J3:J57)</f>
        <v>1.4930616586746945E-2</v>
      </c>
      <c r="M3">
        <v>5.3799099999999997</v>
      </c>
      <c r="N3">
        <v>0.100189</v>
      </c>
      <c r="O3" s="1">
        <v>0.106560145751986</v>
      </c>
      <c r="P3" s="1">
        <f t="shared" ref="P3:P58" si="3">ABS(N3-O3)/MAX(N3:N57)</f>
        <v>1.5274168167803422E-2</v>
      </c>
      <c r="Q3">
        <v>5.3480499999999997</v>
      </c>
      <c r="R3">
        <v>0.14799200000000001</v>
      </c>
      <c r="S3" s="1">
        <v>0.23213856703702099</v>
      </c>
      <c r="T3" s="1">
        <f t="shared" ref="T3:T59" si="4">ABS(R3-S3)/MAX(R3:R57)</f>
        <v>0.13962063953842999</v>
      </c>
      <c r="U3">
        <v>5.3662700000000001</v>
      </c>
      <c r="V3">
        <v>2.4615300000000002</v>
      </c>
      <c r="W3" s="1">
        <v>3.01192607859935</v>
      </c>
      <c r="X3" s="1">
        <f t="shared" ref="X3:X53" si="5">ABS(V3-W3)/MAX(V3:V57)</f>
        <v>9.2533091003740658E-2</v>
      </c>
    </row>
    <row r="4" spans="1:24" x14ac:dyDescent="0.2">
      <c r="A4">
        <v>5.5752199999999998</v>
      </c>
      <c r="B4">
        <v>8.1672200000000004</v>
      </c>
      <c r="C4" s="1">
        <v>7.7397039434143204</v>
      </c>
      <c r="D4" s="1">
        <f t="shared" si="0"/>
        <v>4.7877355319022548E-2</v>
      </c>
      <c r="E4">
        <v>5.6277600000000003</v>
      </c>
      <c r="F4">
        <v>0.48190500000000003</v>
      </c>
      <c r="G4" s="1">
        <v>1.3962794969896499</v>
      </c>
      <c r="H4" s="1">
        <f t="shared" si="1"/>
        <v>0.43638686841196844</v>
      </c>
      <c r="I4">
        <v>6.4176599999999997</v>
      </c>
      <c r="J4">
        <v>1.5614699999999999E-3</v>
      </c>
      <c r="K4" s="1">
        <v>0.10982189921754</v>
      </c>
      <c r="L4" s="1">
        <f t="shared" si="2"/>
        <v>1.7966210053725826E-2</v>
      </c>
      <c r="M4">
        <v>5.56332</v>
      </c>
      <c r="N4">
        <v>0.117267</v>
      </c>
      <c r="O4" s="1">
        <v>0.107248265475049</v>
      </c>
      <c r="P4" s="1">
        <f t="shared" si="3"/>
        <v>2.4018887955118324E-2</v>
      </c>
      <c r="Q4">
        <v>5.5857400000000004</v>
      </c>
      <c r="R4">
        <v>0.202347</v>
      </c>
      <c r="S4" s="1">
        <v>0.238519550441156</v>
      </c>
      <c r="T4" s="1">
        <f t="shared" si="4"/>
        <v>6.00194969820734E-2</v>
      </c>
      <c r="U4">
        <v>5.6047700000000003</v>
      </c>
      <c r="V4">
        <v>3.10243</v>
      </c>
      <c r="W4" s="1">
        <v>3.0111762191966802</v>
      </c>
      <c r="X4" s="1">
        <f t="shared" si="5"/>
        <v>1.5341668903232932E-2</v>
      </c>
    </row>
    <row r="5" spans="1:24" x14ac:dyDescent="0.2">
      <c r="A5">
        <v>6.3716799999999996</v>
      </c>
      <c r="B5">
        <v>8.0631299999999992</v>
      </c>
      <c r="C5" s="1">
        <v>7.7462318380910702</v>
      </c>
      <c r="D5" s="1">
        <f t="shared" si="0"/>
        <v>3.5489300726692617E-2</v>
      </c>
      <c r="E5">
        <v>6.3595899999999999</v>
      </c>
      <c r="F5">
        <v>0.82419299999999995</v>
      </c>
      <c r="G5" s="1">
        <v>1.3767426236498099</v>
      </c>
      <c r="H5" s="1">
        <f t="shared" si="1"/>
        <v>0.26370529875953186</v>
      </c>
      <c r="I5">
        <v>6.6553500000000003</v>
      </c>
      <c r="J5">
        <v>1.6193100000000001E-3</v>
      </c>
      <c r="K5" s="1">
        <v>0.110152531623013</v>
      </c>
      <c r="L5" s="1">
        <f t="shared" si="2"/>
        <v>1.8011480940726843E-2</v>
      </c>
      <c r="M5">
        <v>6.2969400000000002</v>
      </c>
      <c r="N5">
        <v>8.31229E-2</v>
      </c>
      <c r="O5" s="1">
        <v>0.10978549672440301</v>
      </c>
      <c r="P5" s="1">
        <f t="shared" si="3"/>
        <v>6.3920839675016022E-2</v>
      </c>
      <c r="Q5">
        <v>6.2988099999999996</v>
      </c>
      <c r="R5">
        <v>0.18932599999999999</v>
      </c>
      <c r="S5" s="1">
        <v>0.25605418637280902</v>
      </c>
      <c r="T5" s="1">
        <f t="shared" si="4"/>
        <v>0.11071909864739005</v>
      </c>
      <c r="U5">
        <v>6.2010199999999998</v>
      </c>
      <c r="V5">
        <v>2.08969</v>
      </c>
      <c r="W5" s="1">
        <v>3.0094335362242002</v>
      </c>
      <c r="X5" s="1">
        <f t="shared" si="5"/>
        <v>0.15462812263146217</v>
      </c>
    </row>
    <row r="6" spans="1:24" x14ac:dyDescent="0.2">
      <c r="A6">
        <v>6.7256600000000004</v>
      </c>
      <c r="B6">
        <v>7.7714999999999996</v>
      </c>
      <c r="C6" s="1">
        <v>7.7488377666710297</v>
      </c>
      <c r="D6" s="1">
        <f t="shared" si="0"/>
        <v>2.5379346125125857E-3</v>
      </c>
      <c r="E6">
        <v>6.5939399999999999</v>
      </c>
      <c r="F6">
        <v>0.737205</v>
      </c>
      <c r="G6" s="1">
        <v>1.3710653084178701</v>
      </c>
      <c r="H6" s="1">
        <f t="shared" si="1"/>
        <v>0.30251096887739404</v>
      </c>
      <c r="I6">
        <v>8.4380299999999995</v>
      </c>
      <c r="J6">
        <v>1.90847E-2</v>
      </c>
      <c r="K6" s="1">
        <v>0.112213044820046</v>
      </c>
      <c r="L6" s="1">
        <f t="shared" si="2"/>
        <v>1.5454985880673705E-2</v>
      </c>
      <c r="M6">
        <v>6.6637599999999999</v>
      </c>
      <c r="N6">
        <v>9.9427100000000004E-2</v>
      </c>
      <c r="O6" s="1">
        <v>0.110925039381243</v>
      </c>
      <c r="P6" s="1">
        <f t="shared" si="3"/>
        <v>2.7565129810061383E-2</v>
      </c>
      <c r="Q6">
        <v>6.6553500000000003</v>
      </c>
      <c r="R6">
        <v>0.13933699999999999</v>
      </c>
      <c r="S6" s="1">
        <v>0.26391693359127799</v>
      </c>
      <c r="T6" s="1">
        <f t="shared" si="4"/>
        <v>0.20670991835016594</v>
      </c>
      <c r="U6">
        <v>6.6780200000000001</v>
      </c>
      <c r="V6">
        <v>3.5988699999999998</v>
      </c>
      <c r="W6" s="1">
        <v>3.0081751258242702</v>
      </c>
      <c r="X6" s="1">
        <f t="shared" si="5"/>
        <v>9.9308161291123145E-2</v>
      </c>
    </row>
    <row r="7" spans="1:24" x14ac:dyDescent="0.2">
      <c r="A7">
        <v>8.5840700000000005</v>
      </c>
      <c r="B7">
        <v>7.3689099999999996</v>
      </c>
      <c r="C7" s="1">
        <v>7.75998690304014</v>
      </c>
      <c r="D7" s="1">
        <f t="shared" si="0"/>
        <v>4.3796548820765162E-2</v>
      </c>
      <c r="E7">
        <v>8.51938</v>
      </c>
      <c r="F7">
        <v>1.1027899999999999</v>
      </c>
      <c r="G7" s="1">
        <v>1.33395571729534</v>
      </c>
      <c r="H7" s="1">
        <f t="shared" si="1"/>
        <v>0.11032425312258215</v>
      </c>
      <c r="I7">
        <v>9.0322600000000008</v>
      </c>
      <c r="J7">
        <v>1.9229300000000001E-2</v>
      </c>
      <c r="K7" s="1">
        <v>0.113192041320093</v>
      </c>
      <c r="L7" s="1">
        <f t="shared" si="2"/>
        <v>1.559345699977314E-2</v>
      </c>
      <c r="M7">
        <v>8.4978200000000008</v>
      </c>
      <c r="N7">
        <v>7.8490099999999993E-2</v>
      </c>
      <c r="O7" s="1">
        <v>0.11560184484805899</v>
      </c>
      <c r="P7" s="1">
        <f t="shared" si="3"/>
        <v>8.8971600066309608E-2</v>
      </c>
      <c r="Q7">
        <v>8.5568799999999996</v>
      </c>
      <c r="R7">
        <v>0.19591800000000001</v>
      </c>
      <c r="S7" s="1">
        <v>0.29664125606391001</v>
      </c>
      <c r="T7" s="1">
        <f t="shared" si="4"/>
        <v>0.16712559909721578</v>
      </c>
      <c r="U7">
        <v>8.46678</v>
      </c>
      <c r="V7">
        <v>3.7027600000000001</v>
      </c>
      <c r="W7" s="1">
        <v>3.00438045721934</v>
      </c>
      <c r="X7" s="1">
        <f t="shared" si="5"/>
        <v>0.11741220604573899</v>
      </c>
    </row>
    <row r="8" spans="1:24" x14ac:dyDescent="0.2">
      <c r="A8">
        <v>8.5840700000000005</v>
      </c>
      <c r="B8">
        <v>7.1744599999999998</v>
      </c>
      <c r="C8" s="1">
        <v>7.75998690304014</v>
      </c>
      <c r="D8" s="1">
        <f t="shared" si="0"/>
        <v>6.5572927972779832E-2</v>
      </c>
      <c r="E8">
        <v>8.5473300000000005</v>
      </c>
      <c r="F8">
        <v>1.6886399999999999</v>
      </c>
      <c r="G8" s="1">
        <v>1.3334513905215599</v>
      </c>
      <c r="H8" s="1">
        <f t="shared" si="1"/>
        <v>0.16951440082394659</v>
      </c>
      <c r="I8">
        <v>11.765700000000001</v>
      </c>
      <c r="J8">
        <v>1.98943E-2</v>
      </c>
      <c r="K8" s="1">
        <v>0.12198952354461801</v>
      </c>
      <c r="L8" s="1">
        <f t="shared" si="2"/>
        <v>1.6943071858683524E-2</v>
      </c>
      <c r="M8">
        <v>8.5589499999999994</v>
      </c>
      <c r="N8">
        <v>9.8671900000000007E-2</v>
      </c>
      <c r="O8" s="1">
        <v>0.115782111915714</v>
      </c>
      <c r="P8" s="1">
        <f t="shared" si="3"/>
        <v>4.1019977310345464E-2</v>
      </c>
      <c r="Q8">
        <v>8.5568799999999996</v>
      </c>
      <c r="R8">
        <v>0.28504800000000002</v>
      </c>
      <c r="S8" s="1">
        <v>0.29664125606391001</v>
      </c>
      <c r="T8" s="1">
        <f t="shared" si="4"/>
        <v>1.9236171872154352E-2</v>
      </c>
      <c r="U8">
        <v>8.5860299999999992</v>
      </c>
      <c r="V8">
        <v>3.7027899999999998</v>
      </c>
      <c r="W8" s="1">
        <v>3.0041112789158402</v>
      </c>
      <c r="X8" s="1">
        <f t="shared" si="5"/>
        <v>0.11746250417514158</v>
      </c>
    </row>
    <row r="9" spans="1:24" x14ac:dyDescent="0.2">
      <c r="A9">
        <v>9.0265500000000003</v>
      </c>
      <c r="B9">
        <v>7.7717299999999998</v>
      </c>
      <c r="C9" s="1">
        <v>7.7627355495693999</v>
      </c>
      <c r="D9" s="1">
        <f t="shared" si="0"/>
        <v>1.0072849721817678E-3</v>
      </c>
      <c r="E9">
        <v>9.0229499999999998</v>
      </c>
      <c r="F9">
        <v>1.65968</v>
      </c>
      <c r="G9" s="1">
        <v>1.3245086126699801</v>
      </c>
      <c r="H9" s="1">
        <f t="shared" si="1"/>
        <v>0.1599611456572568</v>
      </c>
      <c r="I9">
        <v>14.2615</v>
      </c>
      <c r="J9">
        <v>2.0501599999999998E-2</v>
      </c>
      <c r="K9" s="1">
        <v>0.135901592634632</v>
      </c>
      <c r="L9" s="1">
        <f t="shared" si="2"/>
        <v>1.9151046442889053E-2</v>
      </c>
      <c r="M9">
        <v>9.0480300000000007</v>
      </c>
      <c r="N9">
        <v>8.78105E-2</v>
      </c>
      <c r="O9" s="1">
        <v>0.11743176044267301</v>
      </c>
      <c r="P9" s="1">
        <f t="shared" si="3"/>
        <v>7.1013932337469651E-2</v>
      </c>
      <c r="Q9">
        <v>9.0322600000000008</v>
      </c>
      <c r="R9">
        <v>0.36115000000000003</v>
      </c>
      <c r="S9" s="1">
        <v>0.30427563737976898</v>
      </c>
      <c r="T9" s="1">
        <f t="shared" si="4"/>
        <v>9.4369089102394374E-2</v>
      </c>
      <c r="U9">
        <v>8.9437800000000003</v>
      </c>
      <c r="V9">
        <v>3.9923099999999998</v>
      </c>
      <c r="W9" s="1">
        <v>3.0032313599242602</v>
      </c>
      <c r="X9" s="1">
        <f t="shared" si="5"/>
        <v>0.16628480356344708</v>
      </c>
    </row>
    <row r="10" spans="1:24" x14ac:dyDescent="0.2">
      <c r="A10">
        <v>11.8584</v>
      </c>
      <c r="B10">
        <v>7.5706199999999999</v>
      </c>
      <c r="C10" s="1">
        <v>7.7858260404932302</v>
      </c>
      <c r="D10" s="1">
        <f t="shared" si="0"/>
        <v>2.4100839977291906E-2</v>
      </c>
      <c r="E10">
        <v>11.9002</v>
      </c>
      <c r="F10">
        <v>1.9789399999999999</v>
      </c>
      <c r="G10" s="1">
        <v>1.25587934096244</v>
      </c>
      <c r="H10" s="1">
        <f t="shared" si="1"/>
        <v>0.34508199617127605</v>
      </c>
      <c r="I10">
        <v>14.855700000000001</v>
      </c>
      <c r="J10">
        <v>2.06462E-2</v>
      </c>
      <c r="K10" s="1">
        <v>0.13998009219669</v>
      </c>
      <c r="L10" s="1">
        <f t="shared" si="2"/>
        <v>1.980389131310635E-2</v>
      </c>
      <c r="M10">
        <v>11.799099999999999</v>
      </c>
      <c r="N10">
        <v>9.0945799999999993E-2</v>
      </c>
      <c r="O10" s="1">
        <v>0.13358098310168701</v>
      </c>
      <c r="P10" s="1">
        <f t="shared" si="3"/>
        <v>0.10221347649396698</v>
      </c>
      <c r="Q10">
        <v>11.765700000000001</v>
      </c>
      <c r="R10">
        <v>0.104713</v>
      </c>
      <c r="S10" s="1">
        <v>0.354974613694651</v>
      </c>
      <c r="T10" s="1">
        <f t="shared" si="4"/>
        <v>0.4152479154686583</v>
      </c>
      <c r="U10">
        <v>11.8058</v>
      </c>
      <c r="V10">
        <v>4.2205399999999997</v>
      </c>
      <c r="W10" s="1">
        <v>2.9922831668263701</v>
      </c>
      <c r="X10" s="1">
        <f t="shared" si="5"/>
        <v>0.2064956596515912</v>
      </c>
    </row>
    <row r="11" spans="1:24" x14ac:dyDescent="0.2">
      <c r="A11">
        <v>14.3363</v>
      </c>
      <c r="B11">
        <v>7.3694800000000003</v>
      </c>
      <c r="C11" s="1">
        <v>7.8089139278663904</v>
      </c>
      <c r="D11" s="1">
        <f t="shared" si="0"/>
        <v>4.9212033044369177E-2</v>
      </c>
      <c r="E11">
        <v>14.2896</v>
      </c>
      <c r="F11">
        <v>2.0719500000000002</v>
      </c>
      <c r="G11" s="1">
        <v>1.1942788623568401</v>
      </c>
      <c r="H11" s="1">
        <f t="shared" si="1"/>
        <v>0.41887012434469034</v>
      </c>
      <c r="I11">
        <v>16.2818</v>
      </c>
      <c r="J11">
        <v>2.0993100000000001E-2</v>
      </c>
      <c r="K11" s="1">
        <v>0.151000490818014</v>
      </c>
      <c r="L11" s="1">
        <f t="shared" si="2"/>
        <v>2.1575197039721661E-2</v>
      </c>
      <c r="M11">
        <v>14.3057</v>
      </c>
      <c r="N11">
        <v>8.32117E-2</v>
      </c>
      <c r="O11" s="1">
        <v>0.15605934555023601</v>
      </c>
      <c r="P11" s="1">
        <f t="shared" si="3"/>
        <v>0.17464475497456602</v>
      </c>
      <c r="Q11">
        <v>14.2615</v>
      </c>
      <c r="R11">
        <v>0.15044299999999999</v>
      </c>
      <c r="S11" s="1">
        <v>0.39869929044242802</v>
      </c>
      <c r="T11" s="1">
        <f t="shared" si="4"/>
        <v>0.41192057218163541</v>
      </c>
      <c r="U11">
        <v>14.3101</v>
      </c>
      <c r="V11">
        <v>2.5882100000000001</v>
      </c>
      <c r="W11" s="1">
        <v>2.9780920488873499</v>
      </c>
      <c r="X11" s="1">
        <f t="shared" si="5"/>
        <v>6.5547325849825963E-2</v>
      </c>
    </row>
    <row r="12" spans="1:24" x14ac:dyDescent="0.2">
      <c r="A12">
        <v>14.8673</v>
      </c>
      <c r="B12">
        <v>7.4806400000000002</v>
      </c>
      <c r="C12" s="1">
        <v>7.81337290651767</v>
      </c>
      <c r="D12" s="1">
        <f t="shared" si="0"/>
        <v>3.726262755814163E-2</v>
      </c>
      <c r="E12">
        <v>14.879799999999999</v>
      </c>
      <c r="F12">
        <v>1.9443900000000001</v>
      </c>
      <c r="G12" s="1">
        <v>1.1812202388189199</v>
      </c>
      <c r="H12" s="1">
        <f t="shared" si="1"/>
        <v>0.3642241370958656</v>
      </c>
      <c r="I12">
        <v>17.470300000000002</v>
      </c>
      <c r="J12">
        <v>2.1282300000000001E-2</v>
      </c>
      <c r="K12" s="1">
        <v>0.16225494462548801</v>
      </c>
      <c r="L12" s="1">
        <f t="shared" si="2"/>
        <v>2.3394920595422999E-2</v>
      </c>
      <c r="M12">
        <v>14.7948</v>
      </c>
      <c r="N12">
        <v>0.140656</v>
      </c>
      <c r="O12" s="1">
        <v>0.16091873882756599</v>
      </c>
      <c r="P12" s="1">
        <f t="shared" si="3"/>
        <v>4.8577837086217573E-2</v>
      </c>
      <c r="Q12">
        <v>14.855700000000001</v>
      </c>
      <c r="R12">
        <v>0.39394000000000001</v>
      </c>
      <c r="S12" s="1">
        <v>0.40601086691782201</v>
      </c>
      <c r="T12" s="1">
        <f t="shared" si="4"/>
        <v>2.0028650225363376E-2</v>
      </c>
      <c r="U12">
        <v>14.787100000000001</v>
      </c>
      <c r="V12">
        <v>2.7537199999999999</v>
      </c>
      <c r="W12" s="1">
        <v>2.9750745805465701</v>
      </c>
      <c r="X12" s="1">
        <f t="shared" si="5"/>
        <v>3.7214334080894772E-2</v>
      </c>
    </row>
    <row r="13" spans="1:24" x14ac:dyDescent="0.2">
      <c r="A13">
        <v>16.283200000000001</v>
      </c>
      <c r="B13">
        <v>7.5780000000000003</v>
      </c>
      <c r="C13" s="1">
        <v>7.82443818799202</v>
      </c>
      <c r="D13" s="1">
        <f t="shared" si="0"/>
        <v>2.7598515912829493E-2</v>
      </c>
      <c r="E13">
        <v>16.4373</v>
      </c>
      <c r="F13">
        <v>2.0953300000000001</v>
      </c>
      <c r="G13" s="1">
        <v>1.15066367558937</v>
      </c>
      <c r="H13" s="1">
        <f t="shared" si="1"/>
        <v>0.45084369737016605</v>
      </c>
      <c r="I13">
        <v>17.945699999999999</v>
      </c>
      <c r="J13">
        <v>8.9524500000000007E-2</v>
      </c>
      <c r="K13" s="1">
        <v>0.167390390353271</v>
      </c>
      <c r="L13" s="1">
        <f t="shared" si="2"/>
        <v>1.2922126322778294E-2</v>
      </c>
      <c r="M13">
        <v>16.262</v>
      </c>
      <c r="N13">
        <v>0.201215</v>
      </c>
      <c r="O13" s="1">
        <v>0.176422010178511</v>
      </c>
      <c r="P13" s="1">
        <f t="shared" si="3"/>
        <v>5.9438648974247166E-2</v>
      </c>
      <c r="Q13">
        <v>16.2818</v>
      </c>
      <c r="R13">
        <v>0.60267999999999999</v>
      </c>
      <c r="S13" s="1">
        <v>0.418704489762036</v>
      </c>
      <c r="T13" s="1">
        <f t="shared" si="4"/>
        <v>0.30526234525447005</v>
      </c>
      <c r="U13">
        <v>16.2181</v>
      </c>
      <c r="V13">
        <v>3.5810200000000001</v>
      </c>
      <c r="W13" s="1">
        <v>2.9654195780882202</v>
      </c>
      <c r="X13" s="1">
        <f t="shared" si="5"/>
        <v>0.10349530470432236</v>
      </c>
    </row>
    <row r="14" spans="1:24" x14ac:dyDescent="0.2">
      <c r="A14">
        <v>17.433599999999998</v>
      </c>
      <c r="B14">
        <v>7.5781200000000002</v>
      </c>
      <c r="C14" s="1">
        <v>7.8331195085611798</v>
      </c>
      <c r="D14" s="1">
        <f t="shared" si="0"/>
        <v>2.855729484189079E-2</v>
      </c>
      <c r="E14">
        <v>17.599900000000002</v>
      </c>
      <c r="F14">
        <v>1.46898</v>
      </c>
      <c r="G14" s="1">
        <v>1.12928148022471</v>
      </c>
      <c r="H14" s="1">
        <f t="shared" si="1"/>
        <v>0.23124788613547495</v>
      </c>
      <c r="I14">
        <v>19.3718</v>
      </c>
      <c r="J14">
        <v>4.7133399999999999E-3</v>
      </c>
      <c r="K14" s="1">
        <v>0.184967943714206</v>
      </c>
      <c r="L14" s="1">
        <f t="shared" si="2"/>
        <v>2.9913903878702172E-2</v>
      </c>
      <c r="M14">
        <v>17.4847</v>
      </c>
      <c r="N14">
        <v>0.17794299999999999</v>
      </c>
      <c r="O14" s="1">
        <v>0.19057291377303401</v>
      </c>
      <c r="P14" s="1">
        <f t="shared" si="3"/>
        <v>3.0278922257279139E-2</v>
      </c>
      <c r="Q14">
        <v>17.470300000000002</v>
      </c>
      <c r="R14">
        <v>0.52228200000000002</v>
      </c>
      <c r="S14" s="1">
        <v>0.42546792363938302</v>
      </c>
      <c r="T14" s="1">
        <f t="shared" si="4"/>
        <v>0.16909899124868263</v>
      </c>
      <c r="U14">
        <v>17.529800000000002</v>
      </c>
      <c r="V14">
        <v>2.7958699999999999</v>
      </c>
      <c r="W14" s="1">
        <v>2.9556985481221698</v>
      </c>
      <c r="X14" s="1">
        <f t="shared" si="5"/>
        <v>2.6870521363489174E-2</v>
      </c>
    </row>
    <row r="15" spans="1:24" x14ac:dyDescent="0.2">
      <c r="A15">
        <v>18.053100000000001</v>
      </c>
      <c r="B15">
        <v>7.5712400000000004</v>
      </c>
      <c r="C15" s="1">
        <v>7.8378015071343601</v>
      </c>
      <c r="D15" s="1">
        <f t="shared" si="0"/>
        <v>2.98521185224494E-2</v>
      </c>
      <c r="E15">
        <v>18.056699999999999</v>
      </c>
      <c r="F15">
        <v>1.04558</v>
      </c>
      <c r="G15" s="1">
        <v>1.1209712995780801</v>
      </c>
      <c r="H15" s="1">
        <f t="shared" si="1"/>
        <v>6.8280561865415715E-2</v>
      </c>
      <c r="I15">
        <v>21.629899999999999</v>
      </c>
      <c r="J15">
        <v>3.9326E-2</v>
      </c>
      <c r="K15" s="1">
        <v>0.22092724012335899</v>
      </c>
      <c r="L15" s="1">
        <f t="shared" si="2"/>
        <v>3.0137383064658681E-2</v>
      </c>
      <c r="M15">
        <v>17.973800000000001</v>
      </c>
      <c r="N15">
        <v>0.152334</v>
      </c>
      <c r="O15" s="1">
        <v>0.196573106803478</v>
      </c>
      <c r="P15" s="1">
        <f t="shared" si="3"/>
        <v>0.10605871898301925</v>
      </c>
      <c r="Q15">
        <v>17.945699999999999</v>
      </c>
      <c r="R15">
        <v>0.50490500000000005</v>
      </c>
      <c r="S15" s="1">
        <v>0.42740646399583998</v>
      </c>
      <c r="T15" s="1">
        <f t="shared" si="4"/>
        <v>0.13536176508816161</v>
      </c>
      <c r="U15">
        <v>18.006799999999998</v>
      </c>
      <c r="V15">
        <v>2.75467</v>
      </c>
      <c r="W15" s="1">
        <v>2.95194568381753</v>
      </c>
      <c r="X15" s="1">
        <f t="shared" si="5"/>
        <v>3.3166167989362991E-2</v>
      </c>
    </row>
    <row r="16" spans="1:24" x14ac:dyDescent="0.2">
      <c r="A16">
        <v>19.380500000000001</v>
      </c>
      <c r="B16">
        <v>7.48109</v>
      </c>
      <c r="C16" s="1">
        <v>7.8478501867892696</v>
      </c>
      <c r="D16" s="1">
        <f t="shared" si="0"/>
        <v>4.1073329315437723E-2</v>
      </c>
      <c r="E16">
        <v>19.488499999999998</v>
      </c>
      <c r="F16">
        <v>1.0630999999999999</v>
      </c>
      <c r="G16" s="1">
        <v>1.09525695346347</v>
      </c>
      <c r="H16" s="1">
        <f t="shared" si="1"/>
        <v>2.9123981980065963E-2</v>
      </c>
      <c r="I16">
        <v>21.9864</v>
      </c>
      <c r="J16">
        <v>0.209729</v>
      </c>
      <c r="K16" s="1">
        <v>0.22782987083703801</v>
      </c>
      <c r="L16" s="1">
        <f t="shared" si="2"/>
        <v>3.0039050275712047E-3</v>
      </c>
      <c r="M16">
        <v>19.379899999999999</v>
      </c>
      <c r="N16">
        <v>0.14924499999999999</v>
      </c>
      <c r="O16" s="1">
        <v>0.214903802227181</v>
      </c>
      <c r="P16" s="1">
        <f t="shared" si="3"/>
        <v>0.15741024078783514</v>
      </c>
      <c r="Q16">
        <v>19.3718</v>
      </c>
      <c r="R16">
        <v>0.376689</v>
      </c>
      <c r="S16" s="1">
        <v>0.43059285750953102</v>
      </c>
      <c r="T16" s="1">
        <f t="shared" si="4"/>
        <v>9.4150440431019278E-2</v>
      </c>
      <c r="U16">
        <v>19.3186</v>
      </c>
      <c r="V16">
        <v>2.58968</v>
      </c>
      <c r="W16" s="1">
        <v>2.9410258809577501</v>
      </c>
      <c r="X16" s="1">
        <f t="shared" si="5"/>
        <v>5.9068590130924178E-2</v>
      </c>
    </row>
    <row r="17" spans="1:24" x14ac:dyDescent="0.2">
      <c r="A17">
        <v>19.380500000000001</v>
      </c>
      <c r="B17">
        <v>7.36998</v>
      </c>
      <c r="C17" s="1">
        <v>7.8478501867892696</v>
      </c>
      <c r="D17" s="1">
        <f t="shared" si="0"/>
        <v>5.3516494589700279E-2</v>
      </c>
      <c r="E17">
        <v>19.4894</v>
      </c>
      <c r="F17">
        <v>1.0805</v>
      </c>
      <c r="G17" s="1">
        <v>1.09524094883652</v>
      </c>
      <c r="H17" s="1">
        <f t="shared" si="1"/>
        <v>1.3350615715869362E-2</v>
      </c>
      <c r="I17">
        <v>24.600999999999999</v>
      </c>
      <c r="J17">
        <v>7.4112200000000003E-2</v>
      </c>
      <c r="K17" s="1">
        <v>0.28928345918466097</v>
      </c>
      <c r="L17" s="1">
        <f t="shared" si="2"/>
        <v>3.5708449227263683E-2</v>
      </c>
      <c r="M17">
        <v>19.379899999999999</v>
      </c>
      <c r="N17">
        <v>0.212117</v>
      </c>
      <c r="O17" s="1">
        <v>0.214903802227181</v>
      </c>
      <c r="P17" s="1">
        <f t="shared" si="3"/>
        <v>6.6810723730662018E-3</v>
      </c>
      <c r="Q17">
        <v>19.3718</v>
      </c>
      <c r="R17">
        <v>0.56581899999999996</v>
      </c>
      <c r="S17" s="1">
        <v>0.43059285750953102</v>
      </c>
      <c r="T17" s="1">
        <f t="shared" si="4"/>
        <v>0.23619090472354928</v>
      </c>
      <c r="U17">
        <v>19.3186</v>
      </c>
      <c r="V17">
        <v>2.8170700000000002</v>
      </c>
      <c r="W17" s="1">
        <v>2.9410258809577501</v>
      </c>
      <c r="X17" s="1">
        <f t="shared" si="5"/>
        <v>2.0839575823834482E-2</v>
      </c>
    </row>
    <row r="18" spans="1:24" x14ac:dyDescent="0.2">
      <c r="A18">
        <v>21.5929</v>
      </c>
      <c r="B18">
        <v>7.8701999999999996</v>
      </c>
      <c r="C18" s="1">
        <v>7.8651900437915598</v>
      </c>
      <c r="D18" s="1">
        <f t="shared" si="0"/>
        <v>5.6106302869619493E-4</v>
      </c>
      <c r="E18">
        <v>21.633400000000002</v>
      </c>
      <c r="F18">
        <v>1.02847</v>
      </c>
      <c r="G18" s="1">
        <v>1.0567658281552801</v>
      </c>
      <c r="H18" s="1">
        <f t="shared" si="1"/>
        <v>2.5627029321716531E-2</v>
      </c>
      <c r="I18">
        <v>25.4329</v>
      </c>
      <c r="J18">
        <v>0.108378</v>
      </c>
      <c r="K18" s="1">
        <v>0.31415126332422899</v>
      </c>
      <c r="L18" s="1">
        <f t="shared" si="2"/>
        <v>3.4148817800223205E-2</v>
      </c>
      <c r="M18">
        <v>21.5808</v>
      </c>
      <c r="N18">
        <v>0.37436599999999998</v>
      </c>
      <c r="O18" s="1">
        <v>0.24647880463528901</v>
      </c>
      <c r="P18" s="1">
        <f t="shared" si="3"/>
        <v>0.30659642779329388</v>
      </c>
      <c r="Q18">
        <v>21.629899999999999</v>
      </c>
      <c r="R18">
        <v>0.37023699999999998</v>
      </c>
      <c r="S18" s="1">
        <v>0.42821390294319001</v>
      </c>
      <c r="T18" s="1">
        <f t="shared" si="4"/>
        <v>0.10126456990508782</v>
      </c>
      <c r="U18">
        <v>21.584299999999999</v>
      </c>
      <c r="V18">
        <v>2.94177</v>
      </c>
      <c r="W18" s="1">
        <v>2.9194865745220002</v>
      </c>
      <c r="X18" s="1">
        <f t="shared" si="5"/>
        <v>3.7463098263310593E-3</v>
      </c>
    </row>
    <row r="19" spans="1:24" x14ac:dyDescent="0.2">
      <c r="A19">
        <v>22.035399999999999</v>
      </c>
      <c r="B19">
        <v>7.8771899999999997</v>
      </c>
      <c r="C19" s="1">
        <v>7.8688999602462699</v>
      </c>
      <c r="D19" s="1">
        <f t="shared" si="0"/>
        <v>9.2839829705576777E-4</v>
      </c>
      <c r="E19">
        <v>21.974499999999999</v>
      </c>
      <c r="F19">
        <v>0.68047500000000005</v>
      </c>
      <c r="G19" s="1">
        <v>1.0504725300301001</v>
      </c>
      <c r="H19" s="1">
        <f t="shared" si="1"/>
        <v>0.33510019565462723</v>
      </c>
      <c r="I19">
        <v>27.334499999999998</v>
      </c>
      <c r="J19">
        <v>0.27915699999999999</v>
      </c>
      <c r="K19" s="1">
        <v>0.38276595787076201</v>
      </c>
      <c r="L19" s="1">
        <f t="shared" si="2"/>
        <v>1.7194281548739254E-2</v>
      </c>
      <c r="M19">
        <v>21.947600000000001</v>
      </c>
      <c r="N19">
        <v>0.284331</v>
      </c>
      <c r="O19" s="1">
        <v>0.25200464803411898</v>
      </c>
      <c r="P19" s="1">
        <f t="shared" si="3"/>
        <v>7.7499111682471949E-2</v>
      </c>
      <c r="Q19">
        <v>21.9864</v>
      </c>
      <c r="R19">
        <v>0.33546500000000001</v>
      </c>
      <c r="S19" s="1">
        <v>0.42714446340023099</v>
      </c>
      <c r="T19" s="1">
        <f t="shared" si="4"/>
        <v>0.16013068927553187</v>
      </c>
      <c r="U19">
        <v>21.9421</v>
      </c>
      <c r="V19">
        <v>2.73516</v>
      </c>
      <c r="W19" s="1">
        <v>2.91563522549326</v>
      </c>
      <c r="X19" s="1">
        <f t="shared" si="5"/>
        <v>3.0341659604455205E-2</v>
      </c>
    </row>
    <row r="20" spans="1:24" x14ac:dyDescent="0.2">
      <c r="A20">
        <v>24.690300000000001</v>
      </c>
      <c r="B20">
        <v>8.3982799999999997</v>
      </c>
      <c r="C20" s="1">
        <v>7.8930992838476897</v>
      </c>
      <c r="D20" s="1">
        <f t="shared" si="0"/>
        <v>5.6574990049982093E-2</v>
      </c>
      <c r="E20">
        <v>24.737500000000001</v>
      </c>
      <c r="F20">
        <v>1.1041399999999999</v>
      </c>
      <c r="G20" s="1">
        <v>0.99729201370738396</v>
      </c>
      <c r="H20" s="1">
        <f t="shared" si="1"/>
        <v>9.6770324680399172E-2</v>
      </c>
      <c r="I20">
        <v>27.690999999999999</v>
      </c>
      <c r="J20">
        <v>0.364402</v>
      </c>
      <c r="K20" s="1">
        <v>0.39745230724291197</v>
      </c>
      <c r="L20" s="1">
        <f t="shared" si="2"/>
        <v>5.484818105359301E-3</v>
      </c>
      <c r="M20">
        <v>24.698699999999999</v>
      </c>
      <c r="N20">
        <v>0.27815200000000001</v>
      </c>
      <c r="O20" s="1">
        <v>0.29563734219625998</v>
      </c>
      <c r="P20" s="1">
        <f t="shared" si="3"/>
        <v>4.1919313664110162E-2</v>
      </c>
      <c r="Q20">
        <v>24.719899999999999</v>
      </c>
      <c r="R20">
        <v>0.52902899999999997</v>
      </c>
      <c r="S20" s="1">
        <v>0.41287973694380797</v>
      </c>
      <c r="T20" s="1">
        <f t="shared" si="4"/>
        <v>0.20287053242052719</v>
      </c>
      <c r="U20">
        <v>24.684799999999999</v>
      </c>
      <c r="V20">
        <v>2.86</v>
      </c>
      <c r="W20" s="1">
        <v>2.8818728095921502</v>
      </c>
      <c r="X20" s="1">
        <f t="shared" si="5"/>
        <v>3.6772767088902878E-3</v>
      </c>
    </row>
    <row r="21" spans="1:24" x14ac:dyDescent="0.2">
      <c r="A21">
        <v>25.398199999999999</v>
      </c>
      <c r="B21">
        <v>7.4747399999999997</v>
      </c>
      <c r="C21" s="1">
        <v>7.9004537112562101</v>
      </c>
      <c r="D21" s="1">
        <f t="shared" si="0"/>
        <v>4.767551137324013E-2</v>
      </c>
      <c r="E21">
        <v>25.3172</v>
      </c>
      <c r="F21">
        <v>0.756158</v>
      </c>
      <c r="G21" s="1">
        <v>0.98507877975102998</v>
      </c>
      <c r="H21" s="1">
        <f t="shared" si="1"/>
        <v>0.23297358829297457</v>
      </c>
      <c r="I21">
        <v>27.928699999999999</v>
      </c>
      <c r="J21">
        <v>0.17711199999999999</v>
      </c>
      <c r="K21" s="1">
        <v>0.40756441176019198</v>
      </c>
      <c r="L21" s="1">
        <f t="shared" si="2"/>
        <v>3.8244411803980895E-2</v>
      </c>
      <c r="M21">
        <v>25.371200000000002</v>
      </c>
      <c r="N21">
        <v>0.248664</v>
      </c>
      <c r="O21" s="1">
        <v>0.30657599636455901</v>
      </c>
      <c r="P21" s="1">
        <f t="shared" si="3"/>
        <v>0.1388380686675961</v>
      </c>
      <c r="Q21">
        <v>25.4329</v>
      </c>
      <c r="R21">
        <v>0.57252899999999995</v>
      </c>
      <c r="S21" s="1">
        <v>0.40760363256846899</v>
      </c>
      <c r="T21" s="1">
        <f t="shared" si="4"/>
        <v>0.28806465250062613</v>
      </c>
      <c r="U21">
        <v>25.400300000000001</v>
      </c>
      <c r="V21">
        <v>2.83954</v>
      </c>
      <c r="W21" s="1">
        <v>2.8718224263354801</v>
      </c>
      <c r="X21" s="1">
        <f t="shared" si="5"/>
        <v>5.4273509751820203E-3</v>
      </c>
    </row>
    <row r="22" spans="1:24" x14ac:dyDescent="0.2">
      <c r="A22">
        <v>25.398199999999999</v>
      </c>
      <c r="B22">
        <v>8.0789100000000005</v>
      </c>
      <c r="C22" s="1">
        <v>7.9004537112562101</v>
      </c>
      <c r="D22" s="1">
        <f t="shared" si="0"/>
        <v>1.9985249708131609E-2</v>
      </c>
      <c r="E22">
        <v>25.427299999999999</v>
      </c>
      <c r="F22">
        <v>0.56475200000000003</v>
      </c>
      <c r="G22" s="1">
        <v>0.98269808003593095</v>
      </c>
      <c r="H22" s="1">
        <f t="shared" si="1"/>
        <v>0.42534538841275926</v>
      </c>
      <c r="I22">
        <v>28.047499999999999</v>
      </c>
      <c r="J22">
        <v>6.8242199999999998E-3</v>
      </c>
      <c r="K22" s="1">
        <v>0.41271744996127402</v>
      </c>
      <c r="L22" s="1">
        <f t="shared" si="2"/>
        <v>6.7359450554330569E-2</v>
      </c>
      <c r="M22">
        <v>25.371200000000002</v>
      </c>
      <c r="N22">
        <v>0.31386500000000001</v>
      </c>
      <c r="O22" s="1">
        <v>0.30657599636455901</v>
      </c>
      <c r="P22" s="1">
        <f t="shared" si="3"/>
        <v>1.7474638257765754E-2</v>
      </c>
      <c r="Q22">
        <v>25.4329</v>
      </c>
      <c r="R22">
        <v>0.518181</v>
      </c>
      <c r="S22" s="1">
        <v>0.40760363256846899</v>
      </c>
      <c r="T22" s="1">
        <f t="shared" si="4"/>
        <v>0.19382705796112326</v>
      </c>
      <c r="U22">
        <v>25.400300000000001</v>
      </c>
      <c r="V22">
        <v>2.5294599999999998</v>
      </c>
      <c r="W22" s="1">
        <v>2.8718224263354801</v>
      </c>
      <c r="X22" s="1">
        <f t="shared" si="5"/>
        <v>5.7558283541884012E-2</v>
      </c>
    </row>
    <row r="23" spans="1:24" x14ac:dyDescent="0.2">
      <c r="A23">
        <v>27.168099999999999</v>
      </c>
      <c r="B23">
        <v>7.8707500000000001</v>
      </c>
      <c r="C23" s="1">
        <v>7.9210343657326003</v>
      </c>
      <c r="D23" s="1">
        <f t="shared" si="0"/>
        <v>5.631326374963626E-3</v>
      </c>
      <c r="E23">
        <v>27.111999999999998</v>
      </c>
      <c r="F23">
        <v>0.88391699999999995</v>
      </c>
      <c r="G23" s="1">
        <v>0.94383745663729102</v>
      </c>
      <c r="H23" s="1">
        <f t="shared" si="1"/>
        <v>6.0981287107818673E-2</v>
      </c>
      <c r="I23">
        <v>28.2852</v>
      </c>
      <c r="J23">
        <v>0.50079899999999999</v>
      </c>
      <c r="K23" s="1">
        <v>0.42332581664166902</v>
      </c>
      <c r="L23" s="1">
        <f t="shared" si="2"/>
        <v>1.2856955175650451E-2</v>
      </c>
      <c r="M23">
        <v>27.144100000000002</v>
      </c>
      <c r="N23">
        <v>0.20444100000000001</v>
      </c>
      <c r="O23" s="1">
        <v>0.33539302633628099</v>
      </c>
      <c r="P23" s="1">
        <f t="shared" si="3"/>
        <v>0.3139440455512239</v>
      </c>
      <c r="Q23">
        <v>27.096800000000002</v>
      </c>
      <c r="R23">
        <v>0.49649399999999999</v>
      </c>
      <c r="S23" s="1">
        <v>0.39307275387900997</v>
      </c>
      <c r="T23" s="1">
        <f t="shared" si="4"/>
        <v>0.18128335238869758</v>
      </c>
      <c r="U23">
        <v>26.950600000000001</v>
      </c>
      <c r="V23">
        <v>2.7573099999999999</v>
      </c>
      <c r="W23" s="1">
        <v>2.84827048277177</v>
      </c>
      <c r="X23" s="1">
        <f t="shared" si="5"/>
        <v>1.5292359370516644E-2</v>
      </c>
    </row>
    <row r="24" spans="1:24" x14ac:dyDescent="0.2">
      <c r="A24">
        <v>27.256599999999999</v>
      </c>
      <c r="B24">
        <v>7.9818699999999998</v>
      </c>
      <c r="C24" s="1">
        <v>7.9221457019912203</v>
      </c>
      <c r="D24" s="1">
        <f t="shared" si="0"/>
        <v>6.6885006841198224E-3</v>
      </c>
      <c r="E24">
        <v>27.220199999999998</v>
      </c>
      <c r="F24">
        <v>0.65190800000000004</v>
      </c>
      <c r="G24" s="1">
        <v>0.94118558424188703</v>
      </c>
      <c r="H24" s="1">
        <f t="shared" si="1"/>
        <v>0.29439894834733726</v>
      </c>
      <c r="I24">
        <v>29.592500000000001</v>
      </c>
      <c r="J24">
        <v>0.398928</v>
      </c>
      <c r="K24" s="1">
        <v>0.48911614585201002</v>
      </c>
      <c r="L24" s="1">
        <f t="shared" si="2"/>
        <v>1.4967049220517512E-2</v>
      </c>
      <c r="M24">
        <v>27.205200000000001</v>
      </c>
      <c r="N24">
        <v>0.41711900000000002</v>
      </c>
      <c r="O24" s="1">
        <v>0.336385630479483</v>
      </c>
      <c r="P24" s="1">
        <f t="shared" si="3"/>
        <v>0.19354996900289129</v>
      </c>
      <c r="Q24">
        <v>27.215599999999998</v>
      </c>
      <c r="R24">
        <v>0.44432300000000002</v>
      </c>
      <c r="S24" s="1">
        <v>0.39191648456688399</v>
      </c>
      <c r="T24" s="1">
        <f t="shared" si="4"/>
        <v>9.1861480702050025E-2</v>
      </c>
      <c r="U24">
        <v>27.1891</v>
      </c>
      <c r="V24">
        <v>2.7987299999999999</v>
      </c>
      <c r="W24" s="1">
        <v>2.8444315924408499</v>
      </c>
      <c r="X24" s="1">
        <f t="shared" si="5"/>
        <v>7.6833934266152086E-3</v>
      </c>
    </row>
    <row r="25" spans="1:24" x14ac:dyDescent="0.2">
      <c r="A25">
        <v>27.699100000000001</v>
      </c>
      <c r="B25">
        <v>7.1763599999999999</v>
      </c>
      <c r="C25" s="1">
        <v>7.9278198830266797</v>
      </c>
      <c r="D25" s="1">
        <f t="shared" si="0"/>
        <v>8.4155697250283323E-2</v>
      </c>
      <c r="E25">
        <v>27.696899999999999</v>
      </c>
      <c r="F25">
        <v>0.64614700000000003</v>
      </c>
      <c r="G25" s="1">
        <v>0.92927786788706401</v>
      </c>
      <c r="H25" s="1">
        <f t="shared" si="1"/>
        <v>0.28814341065888593</v>
      </c>
      <c r="I25">
        <v>29.711400000000001</v>
      </c>
      <c r="J25">
        <v>0.17754500000000001</v>
      </c>
      <c r="K25" s="1">
        <v>0.49572502172543398</v>
      </c>
      <c r="L25" s="1">
        <f t="shared" si="2"/>
        <v>5.2803126188714813E-2</v>
      </c>
      <c r="M25">
        <v>27.694299999999998</v>
      </c>
      <c r="N25">
        <v>0.37520999999999999</v>
      </c>
      <c r="O25" s="1">
        <v>0.34433007398441801</v>
      </c>
      <c r="P25" s="1">
        <f t="shared" si="3"/>
        <v>7.8696825400128914E-2</v>
      </c>
      <c r="Q25">
        <v>27.690999999999999</v>
      </c>
      <c r="R25">
        <v>0.49651200000000001</v>
      </c>
      <c r="S25" s="1">
        <v>0.38713102155704898</v>
      </c>
      <c r="T25" s="1">
        <f t="shared" si="4"/>
        <v>0.19172995108274574</v>
      </c>
      <c r="U25">
        <v>27.6661</v>
      </c>
      <c r="V25">
        <v>2.6541600000000001</v>
      </c>
      <c r="W25" s="1">
        <v>2.8365813115940202</v>
      </c>
      <c r="X25" s="1">
        <f t="shared" si="5"/>
        <v>3.0668837375635929E-2</v>
      </c>
    </row>
    <row r="26" spans="1:24" x14ac:dyDescent="0.2">
      <c r="A26">
        <v>27.876100000000001</v>
      </c>
      <c r="B26">
        <v>7.7736000000000001</v>
      </c>
      <c r="C26" s="1">
        <v>7.9301443886539804</v>
      </c>
      <c r="D26" s="1">
        <f t="shared" si="0"/>
        <v>1.753134462046502E-2</v>
      </c>
      <c r="E26">
        <v>27.8142</v>
      </c>
      <c r="F26">
        <v>0.60555300000000001</v>
      </c>
      <c r="G26" s="1">
        <v>0.92629172829017603</v>
      </c>
      <c r="H26" s="1">
        <f t="shared" si="1"/>
        <v>0.32641707981056051</v>
      </c>
      <c r="I26">
        <v>30.424399999999999</v>
      </c>
      <c r="J26">
        <v>0.31397199999999997</v>
      </c>
      <c r="K26" s="1">
        <v>0.53754285666479296</v>
      </c>
      <c r="L26" s="1">
        <f t="shared" si="2"/>
        <v>3.7102392829607617E-2</v>
      </c>
      <c r="M26">
        <v>27.816600000000001</v>
      </c>
      <c r="N26">
        <v>0.31078699999999998</v>
      </c>
      <c r="O26" s="1">
        <v>0.34631623990556798</v>
      </c>
      <c r="P26" s="1">
        <f t="shared" si="3"/>
        <v>9.054550156748753E-2</v>
      </c>
      <c r="Q26">
        <v>27.690999999999999</v>
      </c>
      <c r="R26">
        <v>0.48129499999999997</v>
      </c>
      <c r="S26" s="1">
        <v>0.38713102155704898</v>
      </c>
      <c r="T26" s="1">
        <f t="shared" si="4"/>
        <v>0.16505662353386269</v>
      </c>
      <c r="U26">
        <v>27.6661</v>
      </c>
      <c r="V26">
        <v>2.71618</v>
      </c>
      <c r="W26" s="1">
        <v>2.8365813115940202</v>
      </c>
      <c r="X26" s="1">
        <f t="shared" si="5"/>
        <v>2.02419783786453E-2</v>
      </c>
    </row>
    <row r="27" spans="1:24" x14ac:dyDescent="0.2">
      <c r="A27">
        <v>27.876100000000001</v>
      </c>
      <c r="B27">
        <v>7.98888</v>
      </c>
      <c r="C27" s="1">
        <v>7.9301443886539804</v>
      </c>
      <c r="D27" s="1">
        <f t="shared" si="0"/>
        <v>6.5777780529508783E-3</v>
      </c>
      <c r="E27">
        <v>27.823399999999999</v>
      </c>
      <c r="F27">
        <v>0.79696900000000004</v>
      </c>
      <c r="G27" s="1">
        <v>0.92605658511075195</v>
      </c>
      <c r="H27" s="1">
        <f t="shared" si="1"/>
        <v>0.13137294893034418</v>
      </c>
      <c r="I27">
        <v>34.8217</v>
      </c>
      <c r="J27">
        <v>0.43426300000000001</v>
      </c>
      <c r="K27" s="1">
        <v>0.89185347653415803</v>
      </c>
      <c r="L27" s="1">
        <f t="shared" si="2"/>
        <v>7.5938795730039602E-2</v>
      </c>
      <c r="M27">
        <v>27.877700000000001</v>
      </c>
      <c r="N27">
        <v>0.249468</v>
      </c>
      <c r="O27" s="1">
        <v>0.34730845825479001</v>
      </c>
      <c r="P27" s="1">
        <f t="shared" si="3"/>
        <v>0.24934429753687015</v>
      </c>
      <c r="Q27">
        <v>27.928699999999999</v>
      </c>
      <c r="R27">
        <v>0.56608499999999995</v>
      </c>
      <c r="S27" s="1">
        <v>0.38464321854484801</v>
      </c>
      <c r="T27" s="1">
        <f t="shared" si="4"/>
        <v>0.31804271984005461</v>
      </c>
      <c r="U27">
        <v>27.785299999999999</v>
      </c>
      <c r="V27">
        <v>2.4474800000000001</v>
      </c>
      <c r="W27" s="1">
        <v>2.83458364480488</v>
      </c>
      <c r="X27" s="1">
        <f t="shared" si="5"/>
        <v>6.5080218020019814E-2</v>
      </c>
    </row>
    <row r="28" spans="1:24" x14ac:dyDescent="0.2">
      <c r="A28">
        <v>27.964600000000001</v>
      </c>
      <c r="B28">
        <v>7.8986099999999997</v>
      </c>
      <c r="C28" s="1">
        <v>7.9313183914418701</v>
      </c>
      <c r="D28" s="1">
        <f t="shared" si="0"/>
        <v>3.6629999150973678E-3</v>
      </c>
      <c r="E28">
        <v>27.9481</v>
      </c>
      <c r="F28">
        <v>0.91298900000000005</v>
      </c>
      <c r="G28" s="1">
        <v>0.92285594145762995</v>
      </c>
      <c r="H28" s="1">
        <f t="shared" si="1"/>
        <v>1.0041625576152648E-2</v>
      </c>
      <c r="I28">
        <v>37.198599999999999</v>
      </c>
      <c r="J28">
        <v>0.99688500000000002</v>
      </c>
      <c r="K28" s="1">
        <v>1.1715829894552701</v>
      </c>
      <c r="L28" s="1">
        <f t="shared" si="2"/>
        <v>2.8991763631475102E-2</v>
      </c>
      <c r="M28">
        <v>27.877700000000001</v>
      </c>
      <c r="N28">
        <v>0.27818799999999999</v>
      </c>
      <c r="O28" s="1">
        <v>0.34730845825479001</v>
      </c>
      <c r="P28" s="1">
        <f t="shared" si="3"/>
        <v>0.17615199699990575</v>
      </c>
      <c r="Q28">
        <v>27.928699999999999</v>
      </c>
      <c r="R28">
        <v>0.51608500000000002</v>
      </c>
      <c r="S28" s="1">
        <v>0.38464321854484801</v>
      </c>
      <c r="T28" s="1">
        <f t="shared" si="4"/>
        <v>0.23039953278320058</v>
      </c>
      <c r="U28">
        <v>27.904599999999999</v>
      </c>
      <c r="V28">
        <v>2.36483</v>
      </c>
      <c r="W28" s="1">
        <v>2.8325699210780999</v>
      </c>
      <c r="X28" s="1">
        <f t="shared" si="5"/>
        <v>7.8636862372539112E-2</v>
      </c>
    </row>
    <row r="29" spans="1:24" x14ac:dyDescent="0.2">
      <c r="A29">
        <v>28.053100000000001</v>
      </c>
      <c r="B29">
        <v>7.5722300000000002</v>
      </c>
      <c r="C29" s="1">
        <v>7.9325012983518404</v>
      </c>
      <c r="D29" s="1">
        <f t="shared" si="0"/>
        <v>4.0346641247098365E-2</v>
      </c>
      <c r="E29">
        <v>28.070699999999999</v>
      </c>
      <c r="F29">
        <v>0.98260400000000003</v>
      </c>
      <c r="G29" s="1">
        <v>0.91968293794347</v>
      </c>
      <c r="H29" s="1">
        <f t="shared" si="1"/>
        <v>6.4035015180611957E-2</v>
      </c>
      <c r="I29">
        <v>37.911700000000003</v>
      </c>
      <c r="J29">
        <v>2.3425600000000002</v>
      </c>
      <c r="K29" s="1">
        <v>1.27200130474262</v>
      </c>
      <c r="L29" s="1">
        <f t="shared" si="2"/>
        <v>0.17766309013229495</v>
      </c>
      <c r="M29">
        <v>27.9389</v>
      </c>
      <c r="N29">
        <v>0.23083999999999999</v>
      </c>
      <c r="O29" s="1">
        <v>0.34830226539187997</v>
      </c>
      <c r="P29" s="1">
        <f t="shared" si="3"/>
        <v>0.29935004980205965</v>
      </c>
      <c r="Q29">
        <v>28.047499999999999</v>
      </c>
      <c r="R29">
        <v>0.49000100000000002</v>
      </c>
      <c r="S29" s="1">
        <v>0.38337609583920701</v>
      </c>
      <c r="T29" s="1">
        <f t="shared" si="4"/>
        <v>0.18689892840567054</v>
      </c>
      <c r="U29">
        <v>27.904599999999999</v>
      </c>
      <c r="V29">
        <v>2.5715499999999998</v>
      </c>
      <c r="W29" s="1">
        <v>2.8325699210780999</v>
      </c>
      <c r="X29" s="1">
        <f t="shared" si="5"/>
        <v>4.3882907328071166E-2</v>
      </c>
    </row>
    <row r="30" spans="1:24" x14ac:dyDescent="0.2">
      <c r="A30">
        <v>28.3186</v>
      </c>
      <c r="B30">
        <v>7.7736400000000003</v>
      </c>
      <c r="C30" s="1">
        <v>7.93613128476815</v>
      </c>
      <c r="D30" s="1">
        <f t="shared" si="0"/>
        <v>1.8197335181327937E-2</v>
      </c>
      <c r="E30">
        <v>28.285699999999999</v>
      </c>
      <c r="F30">
        <v>0.48958299999999999</v>
      </c>
      <c r="G30" s="1">
        <v>0.91403473925669898</v>
      </c>
      <c r="H30" s="1">
        <f t="shared" si="1"/>
        <v>0.4396818798943597</v>
      </c>
      <c r="I30">
        <v>39.813200000000002</v>
      </c>
      <c r="J30">
        <v>2.9050600000000002</v>
      </c>
      <c r="K30" s="1">
        <v>1.5794185569336401</v>
      </c>
      <c r="L30" s="1">
        <f t="shared" si="2"/>
        <v>0.21999499534771599</v>
      </c>
      <c r="M30">
        <v>28.0611</v>
      </c>
      <c r="N30">
        <v>0.20057</v>
      </c>
      <c r="O30" s="1">
        <v>0.35028461226269902</v>
      </c>
      <c r="P30" s="1">
        <f t="shared" si="3"/>
        <v>0.38154446014995003</v>
      </c>
      <c r="Q30">
        <v>28.047499999999999</v>
      </c>
      <c r="R30">
        <v>0.44434899999999999</v>
      </c>
      <c r="S30" s="1">
        <v>0.38337609583920701</v>
      </c>
      <c r="T30" s="1">
        <f t="shared" si="4"/>
        <v>0.10687719289528039</v>
      </c>
      <c r="U30">
        <v>28.023900000000001</v>
      </c>
      <c r="V30">
        <v>2.7576299999999998</v>
      </c>
      <c r="W30" s="1">
        <v>2.8305418309731198</v>
      </c>
      <c r="X30" s="1">
        <f t="shared" si="5"/>
        <v>1.2258003559644263E-2</v>
      </c>
    </row>
    <row r="31" spans="1:24" x14ac:dyDescent="0.2">
      <c r="A31">
        <v>29.734500000000001</v>
      </c>
      <c r="B31">
        <v>7.5793400000000002</v>
      </c>
      <c r="C31" s="1">
        <v>7.9575844727406304</v>
      </c>
      <c r="D31" s="1">
        <f t="shared" si="0"/>
        <v>4.235944998999152E-2</v>
      </c>
      <c r="E31">
        <v>29.722200000000001</v>
      </c>
      <c r="F31">
        <v>0.605711</v>
      </c>
      <c r="G31" s="1">
        <v>0.87350023576805103</v>
      </c>
      <c r="H31" s="1">
        <f t="shared" si="1"/>
        <v>0.27739802599033009</v>
      </c>
      <c r="I31">
        <v>42.308999999999997</v>
      </c>
      <c r="J31">
        <v>1.1343799999999999</v>
      </c>
      <c r="K31" s="1">
        <v>2.02077878138837</v>
      </c>
      <c r="L31" s="1">
        <f t="shared" si="2"/>
        <v>0.14710108589898238</v>
      </c>
      <c r="M31">
        <v>28.305700000000002</v>
      </c>
      <c r="N31">
        <v>0.20988699999999999</v>
      </c>
      <c r="O31" s="1">
        <v>0.35420995165290098</v>
      </c>
      <c r="P31" s="1">
        <f t="shared" si="3"/>
        <v>0.36780392937886186</v>
      </c>
      <c r="Q31">
        <v>28.2852</v>
      </c>
      <c r="R31">
        <v>0.38566099999999998</v>
      </c>
      <c r="S31" s="1">
        <v>0.38079358653190498</v>
      </c>
      <c r="T31" s="1">
        <f t="shared" si="4"/>
        <v>8.5319125813460139E-3</v>
      </c>
      <c r="U31">
        <v>28.381599999999999</v>
      </c>
      <c r="V31">
        <v>2.2616100000000001</v>
      </c>
      <c r="W31" s="1">
        <v>2.8243799154485498</v>
      </c>
      <c r="X31" s="1">
        <f t="shared" si="5"/>
        <v>9.4613391746700581E-2</v>
      </c>
    </row>
    <row r="32" spans="1:24" x14ac:dyDescent="0.2">
      <c r="A32">
        <v>29.823</v>
      </c>
      <c r="B32">
        <v>7.8710100000000001</v>
      </c>
      <c r="C32" s="1">
        <v>7.9590425329224797</v>
      </c>
      <c r="D32" s="1">
        <f t="shared" si="0"/>
        <v>9.8587287972853269E-3</v>
      </c>
      <c r="E32">
        <v>29.852</v>
      </c>
      <c r="F32">
        <v>0.82613999999999999</v>
      </c>
      <c r="G32" s="1">
        <v>0.86959793357331205</v>
      </c>
      <c r="H32" s="1">
        <f t="shared" si="1"/>
        <v>4.5017287391257849E-2</v>
      </c>
      <c r="I32">
        <v>42.546700000000001</v>
      </c>
      <c r="J32">
        <v>1.42398</v>
      </c>
      <c r="K32" s="1">
        <v>2.0619742951580502</v>
      </c>
      <c r="L32" s="1">
        <f t="shared" si="2"/>
        <v>0.10587746236305511</v>
      </c>
      <c r="M32">
        <v>29.650700000000001</v>
      </c>
      <c r="N32">
        <v>0.37911299999999998</v>
      </c>
      <c r="O32" s="1">
        <v>0.37468805647370301</v>
      </c>
      <c r="P32" s="1">
        <f t="shared" si="3"/>
        <v>1.1276873134952037E-2</v>
      </c>
      <c r="Q32">
        <v>29.711400000000001</v>
      </c>
      <c r="R32">
        <v>0.49222700000000003</v>
      </c>
      <c r="S32" s="1">
        <v>0.36397808852571101</v>
      </c>
      <c r="T32" s="1">
        <f t="shared" si="4"/>
        <v>0.2248028667635808</v>
      </c>
      <c r="U32">
        <v>29.6934</v>
      </c>
      <c r="V32">
        <v>2.7994699999999999</v>
      </c>
      <c r="W32" s="1">
        <v>2.8007546302106099</v>
      </c>
      <c r="X32" s="1">
        <f t="shared" si="5"/>
        <v>2.1597320331029785E-4</v>
      </c>
    </row>
    <row r="33" spans="1:24" x14ac:dyDescent="0.2">
      <c r="A33">
        <v>30.442499999999999</v>
      </c>
      <c r="B33">
        <v>8.0724599999999995</v>
      </c>
      <c r="C33" s="1">
        <v>7.9696348568577102</v>
      </c>
      <c r="D33" s="1">
        <f t="shared" si="0"/>
        <v>1.1515347407696969E-2</v>
      </c>
      <c r="E33">
        <v>29.977900000000002</v>
      </c>
      <c r="F33">
        <v>0.96536100000000002</v>
      </c>
      <c r="G33" s="1">
        <v>0.86577493088303803</v>
      </c>
      <c r="H33" s="1">
        <f t="shared" si="1"/>
        <v>0.1031594078453159</v>
      </c>
      <c r="I33">
        <v>43.616300000000003</v>
      </c>
      <c r="J33">
        <v>1.7989299999999999</v>
      </c>
      <c r="K33" s="1">
        <v>2.2454719014106002</v>
      </c>
      <c r="L33" s="1">
        <f t="shared" si="2"/>
        <v>7.4105244700370776E-2</v>
      </c>
      <c r="M33">
        <v>29.7729</v>
      </c>
      <c r="N33">
        <v>0.37445699999999998</v>
      </c>
      <c r="O33" s="1">
        <v>0.376455809342092</v>
      </c>
      <c r="P33" s="1">
        <f t="shared" si="3"/>
        <v>5.0939224959084478E-3</v>
      </c>
      <c r="Q33">
        <v>29.830200000000001</v>
      </c>
      <c r="R33">
        <v>0.379187</v>
      </c>
      <c r="S33" s="1">
        <v>0.36247525576507</v>
      </c>
      <c r="T33" s="1">
        <f t="shared" si="4"/>
        <v>2.9293410520565461E-2</v>
      </c>
      <c r="U33">
        <v>29.8126</v>
      </c>
      <c r="V33">
        <v>3.2956300000000001</v>
      </c>
      <c r="W33" s="1">
        <v>2.7985278251688599</v>
      </c>
      <c r="X33" s="1">
        <f t="shared" si="5"/>
        <v>8.3573271268327726E-2</v>
      </c>
    </row>
    <row r="34" spans="1:24" x14ac:dyDescent="0.2">
      <c r="A34">
        <v>34.778799999999997</v>
      </c>
      <c r="B34">
        <v>7.9826199999999998</v>
      </c>
      <c r="C34" s="1">
        <v>8.0666701678325605</v>
      </c>
      <c r="D34" s="1">
        <f t="shared" si="0"/>
        <v>9.4127452944834707E-3</v>
      </c>
      <c r="E34">
        <v>30.428599999999999</v>
      </c>
      <c r="F34">
        <v>0.414354</v>
      </c>
      <c r="G34" s="1">
        <v>0.85178289999175505</v>
      </c>
      <c r="H34" s="1">
        <f t="shared" si="1"/>
        <v>0.6884361696137915</v>
      </c>
      <c r="I34">
        <v>45.636699999999998</v>
      </c>
      <c r="J34">
        <v>1.91865</v>
      </c>
      <c r="K34" s="1">
        <v>2.5640431907531198</v>
      </c>
      <c r="L34" s="1">
        <f t="shared" si="2"/>
        <v>0.10710533586575013</v>
      </c>
      <c r="M34">
        <v>29.895199999999999</v>
      </c>
      <c r="N34">
        <v>0.33875300000000003</v>
      </c>
      <c r="O34" s="1">
        <v>0.37820953398395901</v>
      </c>
      <c r="P34" s="1">
        <f t="shared" si="3"/>
        <v>0.10055412581827561</v>
      </c>
      <c r="Q34">
        <v>29.949100000000001</v>
      </c>
      <c r="R34">
        <v>0.57049499999999997</v>
      </c>
      <c r="S34" s="1">
        <v>0.36095543183094803</v>
      </c>
      <c r="T34" s="1">
        <f t="shared" si="4"/>
        <v>0.36729431137705321</v>
      </c>
      <c r="U34">
        <v>29.931899999999999</v>
      </c>
      <c r="V34">
        <v>1.68326</v>
      </c>
      <c r="W34" s="1">
        <v>2.7962858017795602</v>
      </c>
      <c r="X34" s="1">
        <f t="shared" si="5"/>
        <v>0.18712291349835414</v>
      </c>
    </row>
    <row r="35" spans="1:24" x14ac:dyDescent="0.2">
      <c r="A35">
        <v>37.168100000000003</v>
      </c>
      <c r="B35">
        <v>8.1911900000000006</v>
      </c>
      <c r="C35" s="1">
        <v>8.14426443622847</v>
      </c>
      <c r="D35" s="1">
        <f t="shared" si="0"/>
        <v>5.2551754621285507E-3</v>
      </c>
      <c r="E35">
        <v>34.844200000000001</v>
      </c>
      <c r="F35">
        <v>0.48432599999999998</v>
      </c>
      <c r="G35" s="1">
        <v>0.68760022636923501</v>
      </c>
      <c r="H35" s="1">
        <f t="shared" si="1"/>
        <v>0.31991788787956316</v>
      </c>
      <c r="I35">
        <v>46.349699999999999</v>
      </c>
      <c r="J35">
        <v>1.1353599999999999</v>
      </c>
      <c r="K35" s="1">
        <v>2.65992102551006</v>
      </c>
      <c r="L35" s="1">
        <f t="shared" si="2"/>
        <v>0.25300642000040824</v>
      </c>
      <c r="M35">
        <v>30.3843</v>
      </c>
      <c r="N35">
        <v>0.39154</v>
      </c>
      <c r="O35" s="1">
        <v>0.38506824393599498</v>
      </c>
      <c r="P35" s="1">
        <f t="shared" si="3"/>
        <v>1.6493130739504775E-2</v>
      </c>
      <c r="Q35">
        <v>30.543299999999999</v>
      </c>
      <c r="R35">
        <v>0.54877500000000001</v>
      </c>
      <c r="S35" s="1">
        <v>0.35312437346797498</v>
      </c>
      <c r="T35" s="1">
        <f t="shared" si="4"/>
        <v>0.35652248468320352</v>
      </c>
      <c r="U35">
        <v>30.408899999999999</v>
      </c>
      <c r="V35">
        <v>2.2001900000000001</v>
      </c>
      <c r="W35" s="1">
        <v>2.7871880093901602</v>
      </c>
      <c r="X35" s="1">
        <f t="shared" si="5"/>
        <v>9.8686641009761114E-2</v>
      </c>
    </row>
    <row r="36" spans="1:24" x14ac:dyDescent="0.2">
      <c r="A36">
        <v>37.964599999999997</v>
      </c>
      <c r="B36">
        <v>8.1287699999999994</v>
      </c>
      <c r="C36" s="1">
        <v>8.1772417312019794</v>
      </c>
      <c r="D36" s="1">
        <f t="shared" si="0"/>
        <v>5.4283301455842507E-3</v>
      </c>
      <c r="E36">
        <v>37.115000000000002</v>
      </c>
      <c r="F36">
        <v>0.58892199999999995</v>
      </c>
      <c r="G36" s="1">
        <v>0.58217673188004404</v>
      </c>
      <c r="H36" s="1">
        <f t="shared" si="1"/>
        <v>1.0615865910112456E-2</v>
      </c>
      <c r="I36">
        <v>48.964300000000001</v>
      </c>
      <c r="J36">
        <v>3.4523000000000001</v>
      </c>
      <c r="K36" s="1">
        <v>2.94257938340981</v>
      </c>
      <c r="L36" s="1">
        <f t="shared" si="2"/>
        <v>8.4589981146040868E-2</v>
      </c>
      <c r="M36">
        <v>34.847200000000001</v>
      </c>
      <c r="N36">
        <v>0.386932</v>
      </c>
      <c r="O36" s="1">
        <v>0.42995078906239798</v>
      </c>
      <c r="P36" s="1">
        <f t="shared" si="3"/>
        <v>0.10963245605122945</v>
      </c>
      <c r="Q36">
        <v>34.8217</v>
      </c>
      <c r="R36">
        <v>0.49021199999999998</v>
      </c>
      <c r="S36" s="1">
        <v>0.28518574402250302</v>
      </c>
      <c r="T36" s="1">
        <f t="shared" si="4"/>
        <v>0.41450177399707855</v>
      </c>
      <c r="U36">
        <v>34.821100000000001</v>
      </c>
      <c r="V36">
        <v>2.0981399999999999</v>
      </c>
      <c r="W36" s="1">
        <v>2.6972091013688702</v>
      </c>
      <c r="X36" s="1">
        <f t="shared" si="5"/>
        <v>0.10071604400882135</v>
      </c>
    </row>
    <row r="37" spans="1:24" x14ac:dyDescent="0.2">
      <c r="A37">
        <v>39.911499999999997</v>
      </c>
      <c r="B37">
        <v>8.1914599999999993</v>
      </c>
      <c r="C37" s="1">
        <v>8.2746453846277692</v>
      </c>
      <c r="D37" s="1">
        <f t="shared" si="0"/>
        <v>9.3158985629235927E-3</v>
      </c>
      <c r="E37">
        <v>37.951900000000002</v>
      </c>
      <c r="F37">
        <v>0.63539500000000004</v>
      </c>
      <c r="G37" s="1">
        <v>0.53960772866987705</v>
      </c>
      <c r="H37" s="1">
        <f t="shared" si="1"/>
        <v>0.15075232151673051</v>
      </c>
      <c r="I37">
        <v>49.083199999999998</v>
      </c>
      <c r="J37">
        <v>2.85622</v>
      </c>
      <c r="K37" s="1">
        <v>2.95404671484722</v>
      </c>
      <c r="L37" s="1">
        <f t="shared" si="2"/>
        <v>1.6234697391411576E-2</v>
      </c>
      <c r="M37">
        <v>37.170299999999997</v>
      </c>
      <c r="N37">
        <v>0.39239099999999999</v>
      </c>
      <c r="O37" s="1">
        <v>0.43224217968996598</v>
      </c>
      <c r="P37" s="1">
        <f t="shared" si="3"/>
        <v>0.10155987188790259</v>
      </c>
      <c r="Q37">
        <v>37.198599999999999</v>
      </c>
      <c r="R37">
        <v>0.49463299999999999</v>
      </c>
      <c r="S37" s="1">
        <v>0.238740673585462</v>
      </c>
      <c r="T37" s="1">
        <f t="shared" si="4"/>
        <v>0.51733775630525658</v>
      </c>
      <c r="U37">
        <v>37.206099999999999</v>
      </c>
      <c r="V37">
        <v>1.97481</v>
      </c>
      <c r="W37" s="1">
        <v>2.6507593069719002</v>
      </c>
      <c r="X37" s="1">
        <f t="shared" si="5"/>
        <v>0.11364121433262726</v>
      </c>
    </row>
    <row r="38" spans="1:24" x14ac:dyDescent="0.2">
      <c r="A38">
        <v>42.300899999999999</v>
      </c>
      <c r="B38">
        <v>8.2194699999999994</v>
      </c>
      <c r="C38" s="1">
        <v>8.4181185830768008</v>
      </c>
      <c r="D38" s="1">
        <f t="shared" si="0"/>
        <v>2.2246576822272657E-2</v>
      </c>
      <c r="E38">
        <v>39.976199999999999</v>
      </c>
      <c r="F38">
        <v>0.57175799999999999</v>
      </c>
      <c r="G38" s="1">
        <v>0.42832580235602102</v>
      </c>
      <c r="H38" s="1">
        <f t="shared" si="1"/>
        <v>0.25086172409302354</v>
      </c>
      <c r="I38">
        <v>49.201999999999998</v>
      </c>
      <c r="J38">
        <v>3.0436000000000001</v>
      </c>
      <c r="K38" s="1">
        <v>2.9654607541821898</v>
      </c>
      <c r="L38" s="1">
        <f t="shared" si="2"/>
        <v>1.2967490651469234E-2</v>
      </c>
      <c r="M38">
        <v>37.842799999999997</v>
      </c>
      <c r="N38">
        <v>0.37997999999999998</v>
      </c>
      <c r="O38" s="1">
        <v>0.42818608473514502</v>
      </c>
      <c r="P38" s="1">
        <f t="shared" si="3"/>
        <v>0.1268237418151002</v>
      </c>
      <c r="Q38">
        <v>37.911700000000003</v>
      </c>
      <c r="R38">
        <v>0.49030800000000002</v>
      </c>
      <c r="S38" s="1">
        <v>0.223611605157997</v>
      </c>
      <c r="T38" s="1">
        <f t="shared" si="4"/>
        <v>0.54393645390653023</v>
      </c>
      <c r="U38">
        <v>37.921599999999998</v>
      </c>
      <c r="V38">
        <v>2.6571899999999999</v>
      </c>
      <c r="W38" s="1">
        <v>2.6391873566480601</v>
      </c>
      <c r="X38" s="1">
        <f t="shared" si="5"/>
        <v>3.0266208288259773E-3</v>
      </c>
    </row>
    <row r="39" spans="1:24" x14ac:dyDescent="0.2">
      <c r="A39">
        <v>42.566400000000002</v>
      </c>
      <c r="B39">
        <v>8.0250599999999999</v>
      </c>
      <c r="C39" s="1">
        <v>8.4351268279829998</v>
      </c>
      <c r="D39" s="1">
        <f t="shared" si="0"/>
        <v>4.5923223058996127E-2</v>
      </c>
      <c r="E39">
        <v>42.356200000000001</v>
      </c>
      <c r="F39">
        <v>0.46754699999999999</v>
      </c>
      <c r="G39" s="1">
        <v>0.30463442769648702</v>
      </c>
      <c r="H39" s="1">
        <f t="shared" si="1"/>
        <v>0.34844106005067504</v>
      </c>
      <c r="I39">
        <v>50.152799999999999</v>
      </c>
      <c r="J39">
        <v>3.0268000000000002</v>
      </c>
      <c r="K39" s="1">
        <v>3.0552395990705898</v>
      </c>
      <c r="L39" s="1">
        <f t="shared" si="2"/>
        <v>4.7196543967070953E-3</v>
      </c>
      <c r="M39">
        <v>39.921399999999998</v>
      </c>
      <c r="N39">
        <v>0.19914899999999999</v>
      </c>
      <c r="O39" s="1">
        <v>0.40083226344141898</v>
      </c>
      <c r="P39" s="1">
        <f t="shared" si="3"/>
        <v>0.53060160914651811</v>
      </c>
      <c r="Q39">
        <v>39.932099999999998</v>
      </c>
      <c r="R39">
        <v>0.240371</v>
      </c>
      <c r="S39" s="1">
        <v>0.177762527514611</v>
      </c>
      <c r="T39" s="1">
        <f t="shared" si="4"/>
        <v>0.26046599833336387</v>
      </c>
      <c r="U39">
        <v>39.829599999999999</v>
      </c>
      <c r="V39">
        <v>3.4639600000000002</v>
      </c>
      <c r="W39" s="1">
        <v>2.6148128906554802</v>
      </c>
      <c r="X39" s="1">
        <f t="shared" si="5"/>
        <v>0.14275938692095291</v>
      </c>
    </row>
    <row r="40" spans="1:24" x14ac:dyDescent="0.2">
      <c r="A40">
        <v>43.716799999999999</v>
      </c>
      <c r="B40">
        <v>7.8723900000000002</v>
      </c>
      <c r="C40" s="1">
        <v>8.5112831358859609</v>
      </c>
      <c r="D40" s="1">
        <f t="shared" si="0"/>
        <v>7.1549391435702367E-2</v>
      </c>
      <c r="E40">
        <v>42.593000000000004</v>
      </c>
      <c r="F40">
        <v>0.43276399999999998</v>
      </c>
      <c r="G40" s="1">
        <v>0.29391500123700198</v>
      </c>
      <c r="H40" s="1">
        <f t="shared" si="1"/>
        <v>0.32084230380299195</v>
      </c>
      <c r="I40">
        <v>50.271599999999999</v>
      </c>
      <c r="J40">
        <v>2.8224499999999999</v>
      </c>
      <c r="K40" s="1">
        <v>3.0662608285045301</v>
      </c>
      <c r="L40" s="1">
        <f t="shared" si="2"/>
        <v>4.0461289410587534E-2</v>
      </c>
      <c r="M40">
        <v>42.244500000000002</v>
      </c>
      <c r="N40">
        <v>0.139408</v>
      </c>
      <c r="O40" s="1">
        <v>0.34894376669256999</v>
      </c>
      <c r="P40" s="1">
        <f t="shared" si="3"/>
        <v>0.55126049174189617</v>
      </c>
      <c r="Q40">
        <v>42.308999999999997</v>
      </c>
      <c r="R40">
        <v>7.3053099999999996E-2</v>
      </c>
      <c r="S40" s="1">
        <v>0.126882931450399</v>
      </c>
      <c r="T40" s="1">
        <f t="shared" si="4"/>
        <v>0.2277923221957463</v>
      </c>
      <c r="U40">
        <v>42.214700000000001</v>
      </c>
      <c r="V40">
        <v>2.8031600000000001</v>
      </c>
      <c r="W40" s="1">
        <v>2.6116445234463201</v>
      </c>
      <c r="X40" s="1">
        <f t="shared" si="5"/>
        <v>3.2197756687627976E-2</v>
      </c>
    </row>
    <row r="41" spans="1:24" x14ac:dyDescent="0.2">
      <c r="A41">
        <v>45.575200000000002</v>
      </c>
      <c r="B41">
        <v>8.1989699999999992</v>
      </c>
      <c r="C41" s="1">
        <v>8.6251551979986694</v>
      </c>
      <c r="D41" s="1">
        <f t="shared" si="0"/>
        <v>4.7728312988405741E-2</v>
      </c>
      <c r="E41">
        <v>43.6599</v>
      </c>
      <c r="F41">
        <v>0.29944100000000001</v>
      </c>
      <c r="G41" s="1">
        <v>0.249182279276424</v>
      </c>
      <c r="H41" s="1">
        <f t="shared" si="1"/>
        <v>0.16784181432594739</v>
      </c>
      <c r="I41">
        <v>51.578899999999997</v>
      </c>
      <c r="J41">
        <v>3.19746</v>
      </c>
      <c r="K41" s="1">
        <v>3.1846590971773998</v>
      </c>
      <c r="L41" s="1">
        <f t="shared" si="2"/>
        <v>2.1243561534938478E-3</v>
      </c>
      <c r="M41">
        <v>42.550199999999997</v>
      </c>
      <c r="N41">
        <v>0.32104100000000002</v>
      </c>
      <c r="O41" s="1">
        <v>0.34085863344517098</v>
      </c>
      <c r="P41" s="1">
        <f t="shared" si="3"/>
        <v>5.2137534944925339E-2</v>
      </c>
      <c r="Q41">
        <v>42.546700000000001</v>
      </c>
      <c r="R41">
        <v>3.3930000000000002E-2</v>
      </c>
      <c r="S41" s="1">
        <v>0.12247321181283401</v>
      </c>
      <c r="T41" s="1">
        <f t="shared" si="4"/>
        <v>0.37468933656424802</v>
      </c>
      <c r="U41">
        <v>42.572400000000002</v>
      </c>
      <c r="V41">
        <v>2.76193</v>
      </c>
      <c r="W41" s="1">
        <v>2.61523555909399</v>
      </c>
      <c r="X41" s="1">
        <f t="shared" si="5"/>
        <v>2.4662403272643369E-2</v>
      </c>
    </row>
    <row r="42" spans="1:24" x14ac:dyDescent="0.2">
      <c r="A42">
        <v>46.371699999999997</v>
      </c>
      <c r="B42">
        <v>8.5323799999999999</v>
      </c>
      <c r="C42" s="1">
        <v>8.6623989372554</v>
      </c>
      <c r="D42" s="1">
        <f t="shared" si="0"/>
        <v>1.4560769733173579E-2</v>
      </c>
      <c r="E42">
        <v>45.558799999999998</v>
      </c>
      <c r="F42">
        <v>0.108184</v>
      </c>
      <c r="G42" s="1">
        <v>0.186428194220499</v>
      </c>
      <c r="H42" s="1">
        <f t="shared" si="1"/>
        <v>0.26597025745961372</v>
      </c>
      <c r="I42">
        <v>51.697800000000001</v>
      </c>
      <c r="J42">
        <v>2.9079600000000001</v>
      </c>
      <c r="K42" s="1">
        <v>3.1951654102157399</v>
      </c>
      <c r="L42" s="1">
        <f t="shared" si="2"/>
        <v>4.7662777302812209E-2</v>
      </c>
      <c r="M42">
        <v>43.711799999999997</v>
      </c>
      <c r="N42">
        <v>0.22480600000000001</v>
      </c>
      <c r="O42" s="1">
        <v>0.30747238844383601</v>
      </c>
      <c r="P42" s="1">
        <f t="shared" si="3"/>
        <v>0.21748417782505267</v>
      </c>
      <c r="Q42">
        <v>43.735100000000003</v>
      </c>
      <c r="R42">
        <v>5.5706100000000001E-2</v>
      </c>
      <c r="S42" s="1">
        <v>0.102278636778617</v>
      </c>
      <c r="T42" s="1">
        <f t="shared" si="4"/>
        <v>0.1970815441457105</v>
      </c>
      <c r="U42">
        <v>43.764899999999997</v>
      </c>
      <c r="V42">
        <v>3.17571</v>
      </c>
      <c r="W42" s="1">
        <v>2.6348924820872899</v>
      </c>
      <c r="X42" s="1">
        <f t="shared" si="5"/>
        <v>9.092273464008846E-2</v>
      </c>
    </row>
    <row r="43" spans="1:24" x14ac:dyDescent="0.2">
      <c r="A43">
        <v>49.026499999999999</v>
      </c>
      <c r="B43">
        <v>8.7757000000000005</v>
      </c>
      <c r="C43" s="1">
        <v>8.7367733393567502</v>
      </c>
      <c r="D43" s="1">
        <f t="shared" si="0"/>
        <v>4.3593814414462726E-3</v>
      </c>
      <c r="E43">
        <v>46.393599999999999</v>
      </c>
      <c r="F43">
        <v>0.108253</v>
      </c>
      <c r="G43" s="1">
        <v>0.16692176552891899</v>
      </c>
      <c r="H43" s="1">
        <f t="shared" si="1"/>
        <v>0.19942881165841442</v>
      </c>
      <c r="I43">
        <v>52.173200000000001</v>
      </c>
      <c r="J43">
        <v>2.8740100000000002</v>
      </c>
      <c r="K43" s="1">
        <v>3.2368189500595399</v>
      </c>
      <c r="L43" s="1">
        <f t="shared" si="2"/>
        <v>6.020945837045822E-2</v>
      </c>
      <c r="M43">
        <v>45.606999999999999</v>
      </c>
      <c r="N43">
        <v>0.179031</v>
      </c>
      <c r="O43" s="1">
        <v>0.25339305720340899</v>
      </c>
      <c r="P43" s="1">
        <f t="shared" si="3"/>
        <v>0.19563659640520856</v>
      </c>
      <c r="Q43">
        <v>45.636699999999998</v>
      </c>
      <c r="R43">
        <v>4.70695E-2</v>
      </c>
      <c r="S43" s="1">
        <v>7.7364825239174304E-2</v>
      </c>
      <c r="T43" s="1">
        <f t="shared" si="4"/>
        <v>0.12820107925223245</v>
      </c>
      <c r="U43">
        <v>45.672899999999998</v>
      </c>
      <c r="V43">
        <v>3.1762800000000002</v>
      </c>
      <c r="W43" s="1">
        <v>2.6905280736869899</v>
      </c>
      <c r="X43" s="1">
        <f t="shared" si="5"/>
        <v>8.1665057129673396E-2</v>
      </c>
    </row>
    <row r="44" spans="1:24" x14ac:dyDescent="0.2">
      <c r="A44">
        <v>49.203499999999998</v>
      </c>
      <c r="B44">
        <v>8.7757100000000001</v>
      </c>
      <c r="C44" s="1">
        <v>8.7393613095840692</v>
      </c>
      <c r="D44" s="1">
        <f t="shared" si="0"/>
        <v>4.0706755678915629E-3</v>
      </c>
      <c r="E44">
        <v>49.0229</v>
      </c>
      <c r="F44">
        <v>0.23028000000000001</v>
      </c>
      <c r="G44" s="1">
        <v>0.13537092298832101</v>
      </c>
      <c r="H44" s="1">
        <f t="shared" si="1"/>
        <v>0.32261807920104085</v>
      </c>
      <c r="I44">
        <v>52.173200000000001</v>
      </c>
      <c r="J44">
        <v>3.1635499999999999</v>
      </c>
      <c r="K44" s="1">
        <v>3.2368189500595399</v>
      </c>
      <c r="L44" s="1">
        <f t="shared" si="2"/>
        <v>1.2159247443408162E-2</v>
      </c>
      <c r="M44">
        <v>46.401699999999998</v>
      </c>
      <c r="N44">
        <v>0.14022999999999999</v>
      </c>
      <c r="O44" s="1">
        <v>0.23506786925296799</v>
      </c>
      <c r="P44" s="1">
        <f t="shared" si="3"/>
        <v>0.24950571095983981</v>
      </c>
      <c r="Q44">
        <v>46.468600000000002</v>
      </c>
      <c r="R44">
        <v>3.1877900000000001E-2</v>
      </c>
      <c r="S44" s="1">
        <v>6.9770375056948095E-2</v>
      </c>
      <c r="T44" s="1">
        <f t="shared" si="4"/>
        <v>0.16035002626601425</v>
      </c>
      <c r="U44">
        <v>46.5077</v>
      </c>
      <c r="V44">
        <v>2.9698099999999998</v>
      </c>
      <c r="W44" s="1">
        <v>2.7240580456313199</v>
      </c>
      <c r="X44" s="1">
        <f t="shared" si="5"/>
        <v>4.1316042831942956E-2</v>
      </c>
    </row>
    <row r="45" spans="1:24" x14ac:dyDescent="0.2">
      <c r="A45">
        <v>50.177</v>
      </c>
      <c r="B45">
        <v>8.5813699999999997</v>
      </c>
      <c r="C45" s="1">
        <v>8.7488181144019705</v>
      </c>
      <c r="D45" s="1">
        <f t="shared" si="0"/>
        <v>1.8752448585791972E-2</v>
      </c>
      <c r="E45">
        <v>49.133299999999998</v>
      </c>
      <c r="F45">
        <v>4.4674600000000002E-2</v>
      </c>
      <c r="G45" s="1">
        <v>0.13464695840441601</v>
      </c>
      <c r="H45" s="1">
        <f t="shared" si="1"/>
        <v>0.30583702174290922</v>
      </c>
      <c r="I45">
        <v>52.767400000000002</v>
      </c>
      <c r="J45">
        <v>3.8960499999999998</v>
      </c>
      <c r="K45" s="1">
        <v>3.2893358200498701</v>
      </c>
      <c r="L45" s="1">
        <f t="shared" si="2"/>
        <v>0.10068641403272766</v>
      </c>
      <c r="M45">
        <v>48.9694</v>
      </c>
      <c r="N45">
        <v>0.38010300000000002</v>
      </c>
      <c r="O45" s="1">
        <v>0.193334047064737</v>
      </c>
      <c r="P45" s="1">
        <f t="shared" si="3"/>
        <v>0.49136405904521407</v>
      </c>
      <c r="Q45">
        <v>48.964300000000001</v>
      </c>
      <c r="R45">
        <v>1.0216299999999999E-2</v>
      </c>
      <c r="S45" s="1">
        <v>5.8162118262763997E-2</v>
      </c>
      <c r="T45" s="1">
        <f t="shared" si="4"/>
        <v>0.20289287533277758</v>
      </c>
      <c r="U45">
        <v>49.011899999999997</v>
      </c>
      <c r="V45">
        <v>3.2392799999999999</v>
      </c>
      <c r="W45" s="1">
        <v>2.8576824097126101</v>
      </c>
      <c r="X45" s="1">
        <f t="shared" si="5"/>
        <v>6.4154535109932548E-2</v>
      </c>
    </row>
    <row r="46" spans="1:24" x14ac:dyDescent="0.2">
      <c r="A46">
        <v>50.265500000000003</v>
      </c>
      <c r="B46">
        <v>8.7827599999999997</v>
      </c>
      <c r="C46" s="1">
        <v>8.7492769541603099</v>
      </c>
      <c r="D46" s="1">
        <f t="shared" si="0"/>
        <v>3.7497531569522873E-3</v>
      </c>
      <c r="E46">
        <v>49.255600000000001</v>
      </c>
      <c r="F46">
        <v>0.10849</v>
      </c>
      <c r="G46" s="1">
        <v>0.13387643158885101</v>
      </c>
      <c r="H46" s="1">
        <f t="shared" si="1"/>
        <v>8.6294399385592052E-2</v>
      </c>
      <c r="I46">
        <v>53.9559</v>
      </c>
      <c r="J46">
        <v>2.1080199999999998</v>
      </c>
      <c r="K46" s="1">
        <v>3.3969414709304102</v>
      </c>
      <c r="L46" s="1">
        <f t="shared" si="2"/>
        <v>0.21390118307180322</v>
      </c>
      <c r="M46">
        <v>49.152799999999999</v>
      </c>
      <c r="N46">
        <v>0.12706500000000001</v>
      </c>
      <c r="O46" s="1">
        <v>0.19119985665285399</v>
      </c>
      <c r="P46" s="1">
        <f t="shared" si="3"/>
        <v>0.27024745870686284</v>
      </c>
      <c r="Q46">
        <v>49.201999999999998</v>
      </c>
      <c r="R46">
        <v>0.23631099999999999</v>
      </c>
      <c r="S46" s="1">
        <v>5.7575371956629602E-2</v>
      </c>
      <c r="T46" s="1">
        <f t="shared" si="4"/>
        <v>0.75635763059430328</v>
      </c>
      <c r="U46">
        <v>49.250399999999999</v>
      </c>
      <c r="V46">
        <v>3.65279</v>
      </c>
      <c r="W46" s="1">
        <v>2.8728179747209399</v>
      </c>
      <c r="X46" s="1">
        <f t="shared" si="5"/>
        <v>0.13112960866143139</v>
      </c>
    </row>
    <row r="47" spans="1:24" x14ac:dyDescent="0.2">
      <c r="A47">
        <v>51.5929</v>
      </c>
      <c r="B47">
        <v>8.6301199999999998</v>
      </c>
      <c r="C47" s="1">
        <v>8.7481428067659799</v>
      </c>
      <c r="D47" s="1">
        <f t="shared" si="0"/>
        <v>1.321732778977088E-2</v>
      </c>
      <c r="E47">
        <v>50.218499999999999</v>
      </c>
      <c r="F47">
        <v>0.294184</v>
      </c>
      <c r="G47" s="1">
        <v>0.12896549796861201</v>
      </c>
      <c r="H47" s="1">
        <f t="shared" si="1"/>
        <v>0.56161620629058007</v>
      </c>
      <c r="I47">
        <v>55.144300000000001</v>
      </c>
      <c r="J47">
        <v>1.81877</v>
      </c>
      <c r="K47" s="1">
        <v>3.5079551626468701</v>
      </c>
      <c r="L47" s="1">
        <f t="shared" si="2"/>
        <v>0.2803263913795177</v>
      </c>
      <c r="M47">
        <v>49.213999999999999</v>
      </c>
      <c r="N47">
        <v>0.14647099999999999</v>
      </c>
      <c r="O47" s="1">
        <v>0.19050926669787999</v>
      </c>
      <c r="P47" s="1">
        <f t="shared" si="3"/>
        <v>0.18556570143090101</v>
      </c>
      <c r="Q47">
        <v>49.201999999999998</v>
      </c>
      <c r="R47">
        <v>3.6310599999999998E-2</v>
      </c>
      <c r="S47" s="1">
        <v>5.7575371956629602E-2</v>
      </c>
      <c r="T47" s="1">
        <f t="shared" si="4"/>
        <v>0.28081462809166297</v>
      </c>
      <c r="U47">
        <v>49.250399999999999</v>
      </c>
      <c r="V47">
        <v>3.96286</v>
      </c>
      <c r="W47" s="1">
        <v>2.8728179747209399</v>
      </c>
      <c r="X47" s="1">
        <f t="shared" si="5"/>
        <v>0.18325886001900776</v>
      </c>
    </row>
    <row r="48" spans="1:24" x14ac:dyDescent="0.2">
      <c r="A48">
        <v>51.681399999999996</v>
      </c>
      <c r="B48">
        <v>8.7828999999999997</v>
      </c>
      <c r="C48" s="1">
        <v>8.7475327359628903</v>
      </c>
      <c r="D48" s="1">
        <f t="shared" si="0"/>
        <v>3.9607660130702438E-3</v>
      </c>
      <c r="E48">
        <v>50.326599999999999</v>
      </c>
      <c r="F48">
        <v>6.2174899999999998E-2</v>
      </c>
      <c r="G48" s="1">
        <v>0.128542210642624</v>
      </c>
      <c r="H48" s="1">
        <f t="shared" si="1"/>
        <v>0.57823838503702019</v>
      </c>
      <c r="I48">
        <v>55.976199999999999</v>
      </c>
      <c r="J48">
        <v>4.2885600000000004</v>
      </c>
      <c r="K48" s="1">
        <v>3.5876997699748401</v>
      </c>
      <c r="L48" s="1">
        <f t="shared" si="2"/>
        <v>0.11631029178382886</v>
      </c>
      <c r="M48">
        <v>50.192100000000003</v>
      </c>
      <c r="N48">
        <v>0.13018099999999999</v>
      </c>
      <c r="O48" s="1">
        <v>0.18093785801630299</v>
      </c>
      <c r="P48" s="1">
        <f t="shared" si="3"/>
        <v>0.21387608247254961</v>
      </c>
      <c r="Q48">
        <v>50.271599999999999</v>
      </c>
      <c r="R48">
        <v>1.2430800000000001E-2</v>
      </c>
      <c r="S48" s="1">
        <v>5.5568624961559503E-2</v>
      </c>
      <c r="T48" s="1">
        <f t="shared" si="4"/>
        <v>0.56966198828607484</v>
      </c>
      <c r="U48">
        <v>50.2044</v>
      </c>
      <c r="V48">
        <v>2.1853699999999998</v>
      </c>
      <c r="W48" s="1">
        <v>2.9373710436756899</v>
      </c>
      <c r="X48" s="1">
        <f t="shared" si="5"/>
        <v>0.1264271017090651</v>
      </c>
    </row>
    <row r="49" spans="1:24" x14ac:dyDescent="0.2">
      <c r="A49">
        <v>52.212400000000002</v>
      </c>
      <c r="B49">
        <v>7.9843500000000001</v>
      </c>
      <c r="C49" s="1">
        <v>8.7425973306283797</v>
      </c>
      <c r="D49" s="1">
        <f t="shared" si="0"/>
        <v>8.4915820842204379E-2</v>
      </c>
      <c r="E49">
        <v>51.520299999999999</v>
      </c>
      <c r="F49">
        <v>8.5475700000000002E-2</v>
      </c>
      <c r="G49" s="1">
        <v>0.12558660251509601</v>
      </c>
      <c r="H49" s="1">
        <f t="shared" si="1"/>
        <v>0.34947421054320199</v>
      </c>
      <c r="I49">
        <v>55.976199999999999</v>
      </c>
      <c r="J49">
        <v>6.0257800000000001</v>
      </c>
      <c r="K49" s="1">
        <v>3.5876997699748401</v>
      </c>
      <c r="L49" s="1">
        <f t="shared" si="2"/>
        <v>0.40460823827374381</v>
      </c>
      <c r="M49">
        <v>50.192100000000003</v>
      </c>
      <c r="N49">
        <v>0.18296299999999999</v>
      </c>
      <c r="O49" s="1">
        <v>0.18093785801630299</v>
      </c>
      <c r="P49" s="1">
        <f t="shared" si="3"/>
        <v>8.5334169775576046E-3</v>
      </c>
      <c r="Q49">
        <v>50.271599999999999</v>
      </c>
      <c r="R49">
        <v>2.5474299999999998E-2</v>
      </c>
      <c r="S49" s="1">
        <v>5.5568624961559503E-2</v>
      </c>
      <c r="T49" s="1">
        <f t="shared" si="4"/>
        <v>0.39741440392523381</v>
      </c>
      <c r="U49">
        <v>50.323700000000002</v>
      </c>
      <c r="V49">
        <v>2.1440600000000001</v>
      </c>
      <c r="W49" s="1">
        <v>2.94589498680216</v>
      </c>
      <c r="X49" s="1">
        <f t="shared" si="5"/>
        <v>0.13480522970396597</v>
      </c>
    </row>
    <row r="50" spans="1:24" x14ac:dyDescent="0.2">
      <c r="A50">
        <v>52.212400000000002</v>
      </c>
      <c r="B50">
        <v>8.4773999999999994</v>
      </c>
      <c r="C50" s="1">
        <v>8.7425973306283797</v>
      </c>
      <c r="D50" s="1">
        <f t="shared" si="0"/>
        <v>2.9699344931168988E-2</v>
      </c>
      <c r="E50">
        <v>51.760100000000001</v>
      </c>
      <c r="F50">
        <v>0.114498</v>
      </c>
      <c r="G50" s="1">
        <v>0.125373022345179</v>
      </c>
      <c r="H50" s="1">
        <f t="shared" si="1"/>
        <v>9.4750793684852924E-2</v>
      </c>
      <c r="I50">
        <v>56.570500000000003</v>
      </c>
      <c r="J50">
        <v>5.1573200000000003</v>
      </c>
      <c r="K50" s="1">
        <v>3.6453935666239099</v>
      </c>
      <c r="L50" s="1">
        <f t="shared" si="2"/>
        <v>0.2931612607664621</v>
      </c>
      <c r="M50">
        <v>51.537100000000002</v>
      </c>
      <c r="N50">
        <v>3.9381300000000001E-2</v>
      </c>
      <c r="O50" s="1">
        <v>0.17228098728162999</v>
      </c>
      <c r="P50" s="1">
        <f t="shared" si="3"/>
        <v>0.5600044129700108</v>
      </c>
      <c r="Q50">
        <v>51.578899999999997</v>
      </c>
      <c r="R50">
        <v>3.7757400000000001E-3</v>
      </c>
      <c r="S50" s="1">
        <v>5.4523670948546599E-2</v>
      </c>
      <c r="T50" s="1">
        <f t="shared" si="4"/>
        <v>0.67015820272150262</v>
      </c>
      <c r="U50">
        <v>51.635399999999997</v>
      </c>
      <c r="V50">
        <v>4.2736499999999999</v>
      </c>
      <c r="W50" s="1">
        <v>3.0462330738721599</v>
      </c>
      <c r="X50" s="1">
        <f t="shared" si="5"/>
        <v>0.2063544537125872</v>
      </c>
    </row>
    <row r="51" spans="1:24" x14ac:dyDescent="0.2">
      <c r="A51">
        <v>52.743400000000001</v>
      </c>
      <c r="B51">
        <v>8.3802299999999992</v>
      </c>
      <c r="C51" s="1">
        <v>8.7365693594005904</v>
      </c>
      <c r="D51" s="1">
        <f t="shared" si="0"/>
        <v>3.990630494776707E-2</v>
      </c>
      <c r="E51">
        <v>51.996400000000001</v>
      </c>
      <c r="F51">
        <v>6.8113699999999999E-2</v>
      </c>
      <c r="G51" s="1">
        <v>0.12528697894758301</v>
      </c>
      <c r="H51" s="1">
        <f t="shared" si="1"/>
        <v>0.49813355650257463</v>
      </c>
      <c r="I51">
        <v>58.353099999999998</v>
      </c>
      <c r="J51">
        <v>5.0044700000000004</v>
      </c>
      <c r="K51" s="1">
        <v>3.8196649857018001</v>
      </c>
      <c r="L51" s="1">
        <f t="shared" si="2"/>
        <v>0.23674934894168617</v>
      </c>
      <c r="M51">
        <v>51.598300000000002</v>
      </c>
      <c r="N51">
        <v>0.16978299999999999</v>
      </c>
      <c r="O51" s="1">
        <v>0.17201116167096001</v>
      </c>
      <c r="P51" s="1">
        <f t="shared" si="3"/>
        <v>9.3888886728834015E-3</v>
      </c>
      <c r="Q51">
        <v>51.697800000000001</v>
      </c>
      <c r="R51">
        <v>4.0736000000000001E-2</v>
      </c>
      <c r="S51" s="1">
        <v>5.45054567824199E-2</v>
      </c>
      <c r="T51" s="1">
        <f t="shared" si="4"/>
        <v>0.18183429821235306</v>
      </c>
      <c r="U51">
        <v>51.7547</v>
      </c>
      <c r="V51">
        <v>5.9481000000000002</v>
      </c>
      <c r="W51" s="1">
        <v>3.0559607641793298</v>
      </c>
      <c r="X51" s="1">
        <f t="shared" si="5"/>
        <v>0.48622908757765848</v>
      </c>
    </row>
    <row r="52" spans="1:24" x14ac:dyDescent="0.2">
      <c r="A52">
        <v>53.982300000000002</v>
      </c>
      <c r="B52">
        <v>8.2831299999999999</v>
      </c>
      <c r="C52" s="1">
        <v>8.7193773474725695</v>
      </c>
      <c r="D52" s="1">
        <f t="shared" si="0"/>
        <v>4.8855169157230018E-2</v>
      </c>
      <c r="E52">
        <v>52.593200000000003</v>
      </c>
      <c r="F52">
        <v>7.9764100000000004E-2</v>
      </c>
      <c r="G52" s="1">
        <v>0.12536259262886801</v>
      </c>
      <c r="H52" s="1">
        <f t="shared" si="1"/>
        <v>0.3972859301142932</v>
      </c>
      <c r="L52" s="1"/>
      <c r="M52">
        <v>52.209600000000002</v>
      </c>
      <c r="N52">
        <v>0.237319</v>
      </c>
      <c r="O52" s="1">
        <v>0.16986970724554601</v>
      </c>
      <c r="P52" s="1">
        <f t="shared" si="3"/>
        <v>0.28421362282183049</v>
      </c>
      <c r="Q52">
        <v>52.173200000000001</v>
      </c>
      <c r="R52">
        <v>5.1620300000000001E-2</v>
      </c>
      <c r="S52" s="1">
        <v>5.4551795322884497E-2</v>
      </c>
      <c r="T52" s="1">
        <f t="shared" si="4"/>
        <v>3.8712231221064777E-2</v>
      </c>
      <c r="U52">
        <v>52.231699999999996</v>
      </c>
      <c r="V52">
        <v>5.4107700000000003</v>
      </c>
      <c r="W52" s="1">
        <v>3.0958343846235299</v>
      </c>
      <c r="X52" s="1">
        <f t="shared" si="5"/>
        <v>0.42783848054463047</v>
      </c>
    </row>
    <row r="53" spans="1:24" x14ac:dyDescent="0.2">
      <c r="A53">
        <v>55.1327</v>
      </c>
      <c r="B53">
        <v>8.4846400000000006</v>
      </c>
      <c r="C53" s="1">
        <v>8.6994925443490896</v>
      </c>
      <c r="D53" s="1">
        <f t="shared" si="0"/>
        <v>2.4061252082904671E-2</v>
      </c>
      <c r="E53">
        <v>52.832299999999996</v>
      </c>
      <c r="F53">
        <v>9.1384800000000002E-2</v>
      </c>
      <c r="G53" s="1">
        <v>0.12546799111677301</v>
      </c>
      <c r="H53" s="1">
        <f t="shared" si="1"/>
        <v>0.29695657692679595</v>
      </c>
      <c r="L53" s="1"/>
      <c r="M53">
        <v>52.270699999999998</v>
      </c>
      <c r="N53">
        <v>0.165909</v>
      </c>
      <c r="O53" s="1">
        <v>0.16969274882258301</v>
      </c>
      <c r="P53" s="1">
        <f t="shared" si="3"/>
        <v>1.9361740741070724E-2</v>
      </c>
      <c r="Q53">
        <v>52.767400000000002</v>
      </c>
      <c r="R53">
        <v>2.33779E-2</v>
      </c>
      <c r="S53" s="1">
        <v>5.4744094911770701E-2</v>
      </c>
      <c r="T53" s="1">
        <f t="shared" si="4"/>
        <v>0.41421024296728703</v>
      </c>
      <c r="U53">
        <v>52.7087</v>
      </c>
      <c r="V53">
        <v>4.9561299999999999</v>
      </c>
      <c r="W53" s="1">
        <v>3.1371385950152102</v>
      </c>
      <c r="X53" s="1">
        <f t="shared" si="5"/>
        <v>0.36701850132760638</v>
      </c>
    </row>
    <row r="54" spans="1:24" x14ac:dyDescent="0.2">
      <c r="A54">
        <v>56.017699999999998</v>
      </c>
      <c r="B54">
        <v>8.7763899999999992</v>
      </c>
      <c r="C54" s="1">
        <v>8.68162612531939</v>
      </c>
      <c r="D54" s="1">
        <f t="shared" si="0"/>
        <v>1.0612569117814099E-2</v>
      </c>
      <c r="E54">
        <v>54.023400000000002</v>
      </c>
      <c r="F54">
        <v>6.2481200000000001E-2</v>
      </c>
      <c r="G54" s="1">
        <v>0.126633157898322</v>
      </c>
      <c r="H54" s="1">
        <f t="shared" si="1"/>
        <v>0.55893668393223261</v>
      </c>
      <c r="L54" s="1"/>
      <c r="M54">
        <v>52.759799999999998</v>
      </c>
      <c r="N54">
        <v>0.15504799999999999</v>
      </c>
      <c r="O54" s="1">
        <v>0.16842533083046399</v>
      </c>
      <c r="P54" s="1">
        <f t="shared" si="3"/>
        <v>6.8452855485835906E-2</v>
      </c>
      <c r="Q54">
        <v>53.9559</v>
      </c>
      <c r="R54">
        <v>4.2979999999999997E-2</v>
      </c>
      <c r="S54" s="1">
        <v>5.54646453253742E-2</v>
      </c>
      <c r="T54" s="1">
        <f t="shared" si="4"/>
        <v>0.16486755846954984</v>
      </c>
      <c r="X54" s="1"/>
    </row>
    <row r="55" spans="1:24" x14ac:dyDescent="0.2">
      <c r="A55">
        <v>56.6372</v>
      </c>
      <c r="B55">
        <v>8.3806200000000004</v>
      </c>
      <c r="C55" s="1">
        <v>8.6683985444297598</v>
      </c>
      <c r="D55" s="1">
        <f t="shared" si="0"/>
        <v>3.2228206198597821E-2</v>
      </c>
      <c r="E55">
        <v>55.099200000000003</v>
      </c>
      <c r="F55">
        <v>0.114775</v>
      </c>
      <c r="G55" s="1">
        <v>0.12860191626002401</v>
      </c>
      <c r="H55" s="1">
        <f t="shared" si="1"/>
        <v>0.12046975613177095</v>
      </c>
      <c r="L55" s="1"/>
      <c r="M55">
        <v>53.982500000000002</v>
      </c>
      <c r="N55">
        <v>0.19542399999999999</v>
      </c>
      <c r="O55" s="1">
        <v>0.16641672180584</v>
      </c>
      <c r="P55" s="1">
        <f t="shared" si="3"/>
        <v>0.14843252719297523</v>
      </c>
      <c r="Q55">
        <v>55.144300000000001</v>
      </c>
      <c r="R55">
        <v>3.2147299999999997E-2</v>
      </c>
      <c r="S55" s="1">
        <v>5.6632982976817202E-2</v>
      </c>
      <c r="T55" s="1">
        <f t="shared" si="4"/>
        <v>0.32334877480600549</v>
      </c>
      <c r="X55" s="1"/>
    </row>
    <row r="56" spans="1:24" x14ac:dyDescent="0.2">
      <c r="A56">
        <v>58.318600000000004</v>
      </c>
      <c r="B56">
        <v>8.9293999999999993</v>
      </c>
      <c r="C56" s="1">
        <v>8.6327836593911904</v>
      </c>
      <c r="D56" s="1">
        <f t="shared" si="0"/>
        <v>3.3217947522656499E-2</v>
      </c>
      <c r="E56">
        <v>56.052100000000003</v>
      </c>
      <c r="F56">
        <v>9.16516E-2</v>
      </c>
      <c r="G56" s="1">
        <v>0.13107132034074001</v>
      </c>
      <c r="H56" s="1">
        <f t="shared" si="1"/>
        <v>0.38155993825247803</v>
      </c>
      <c r="L56" s="1"/>
      <c r="M56">
        <v>55.082999999999998</v>
      </c>
      <c r="N56">
        <v>0.150417</v>
      </c>
      <c r="O56" s="1">
        <v>0.166025595599927</v>
      </c>
      <c r="P56" s="1">
        <f t="shared" si="3"/>
        <v>0.10270164232087774</v>
      </c>
      <c r="Q56">
        <v>55.976199999999999</v>
      </c>
      <c r="R56">
        <v>3.2173199999999999E-2</v>
      </c>
      <c r="S56" s="1">
        <v>5.7717306307966697E-2</v>
      </c>
      <c r="T56" s="1">
        <f t="shared" si="4"/>
        <v>0.33732591759909436</v>
      </c>
      <c r="X56" s="1"/>
    </row>
    <row r="57" spans="1:24" x14ac:dyDescent="0.2">
      <c r="D57" s="1"/>
      <c r="E57">
        <v>56.768099999999997</v>
      </c>
      <c r="F57">
        <v>0.103312</v>
      </c>
      <c r="G57" s="1">
        <v>0.133193661514487</v>
      </c>
      <c r="H57" s="1">
        <f t="shared" si="1"/>
        <v>0.28923708295732342</v>
      </c>
      <c r="L57" s="1"/>
      <c r="M57">
        <v>56.061100000000003</v>
      </c>
      <c r="N57">
        <v>0.15198</v>
      </c>
      <c r="O57" s="1">
        <v>0.16680317964760999</v>
      </c>
      <c r="P57" s="1">
        <f t="shared" si="3"/>
        <v>9.753375212271341E-2</v>
      </c>
      <c r="Q57">
        <v>56.095100000000002</v>
      </c>
      <c r="R57">
        <v>4.0872499999999999E-2</v>
      </c>
      <c r="S57" s="1">
        <v>5.7889028753319E-2</v>
      </c>
      <c r="T57" s="1">
        <f t="shared" si="4"/>
        <v>0.22471391666086502</v>
      </c>
      <c r="X57" s="1"/>
    </row>
    <row r="58" spans="1:24" x14ac:dyDescent="0.2">
      <c r="E58">
        <v>58.316699999999997</v>
      </c>
      <c r="F58">
        <v>6.8637400000000001E-2</v>
      </c>
      <c r="G58" s="1">
        <v>0.13801017873713201</v>
      </c>
      <c r="H58" s="1">
        <f t="shared" si="1"/>
        <v>1.0107139655221788</v>
      </c>
      <c r="L58" s="1"/>
      <c r="M58">
        <v>56.061100000000003</v>
      </c>
      <c r="N58">
        <v>0.104632</v>
      </c>
      <c r="O58" s="1">
        <v>0.16680317964760999</v>
      </c>
      <c r="P58" s="1">
        <f t="shared" si="3"/>
        <v>0.59418896367851126</v>
      </c>
      <c r="Q58">
        <v>56.570500000000003</v>
      </c>
      <c r="R58">
        <v>5.3930800000000001E-2</v>
      </c>
      <c r="S58" s="1">
        <v>5.8583885229778102E-2</v>
      </c>
      <c r="T58" s="1">
        <f t="shared" si="4"/>
        <v>6.1446903871996555E-2</v>
      </c>
      <c r="X58" s="1"/>
    </row>
    <row r="59" spans="1:24" x14ac:dyDescent="0.2">
      <c r="L59" s="1"/>
      <c r="P59" s="1"/>
      <c r="Q59">
        <v>58.353099999999998</v>
      </c>
      <c r="R59">
        <v>7.5725299999999995E-2</v>
      </c>
      <c r="S59" s="1">
        <v>6.1302785146476399E-2</v>
      </c>
      <c r="T59" s="1">
        <f t="shared" si="4"/>
        <v>0.1904583389372323</v>
      </c>
      <c r="X59" s="1"/>
    </row>
    <row r="61" spans="1:24" x14ac:dyDescent="0.2">
      <c r="D61" s="1">
        <f>AVERAGE(D2:D60)</f>
        <v>2.7254509507998667E-2</v>
      </c>
      <c r="H61" s="1">
        <f>AVERAGE(H2:H60)</f>
        <v>0.26758716042238645</v>
      </c>
      <c r="L61" s="1">
        <f>AVERAGE(L2:L60)</f>
        <v>7.389663242335559E-2</v>
      </c>
      <c r="P61" s="1">
        <f>AVERAGE(P2:P60)</f>
        <v>0.1598804513984084</v>
      </c>
      <c r="T61" s="1">
        <f>AVERAGE(T2:T60)</f>
        <v>0.24005023691816041</v>
      </c>
      <c r="X61" s="1">
        <f>AVERAGE(X2:X60)</f>
        <v>9.6988534603606721E-2</v>
      </c>
    </row>
    <row r="62" spans="1:24" x14ac:dyDescent="0.2">
      <c r="C62" t="s">
        <v>13</v>
      </c>
      <c r="D62" s="1">
        <f>AVERAGE(D61,H61,L61,P61,T61,X61)</f>
        <v>0.14427625421231938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观测值</vt:lpstr>
      <vt:lpstr>Sheet1</vt:lpstr>
      <vt:lpstr>损失查看_tmp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2026-06-11T11:52:06Z</dcterms:modified>
</cp:coreProperties>
</file>